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6e6863b82450167/Desktop/"/>
    </mc:Choice>
  </mc:AlternateContent>
  <xr:revisionPtr revIDLastSave="252" documentId="8_{202ACAFA-2E6F-4828-B61E-A532D4E5B472}" xr6:coauthVersionLast="47" xr6:coauthVersionMax="47" xr10:uidLastSave="{57613E05-D7D4-499B-9810-C4AD79CC26ED}"/>
  <bookViews>
    <workbookView xWindow="-108" yWindow="-108" windowWidth="23256" windowHeight="12456" xr2:uid="{8D870250-287F-4233-B6B9-C8EE048BB41B}"/>
  </bookViews>
  <sheets>
    <sheet name="suppliers" sheetId="1" r:id="rId1"/>
    <sheet name="Sheet2" sheetId="15" r:id="rId2"/>
    <sheet name="stores" sheetId="2" r:id="rId3"/>
    <sheet name="products" sheetId="3" r:id="rId4"/>
    <sheet name="Sheet1" sheetId="14" r:id="rId5"/>
    <sheet name="customers" sheetId="4" r:id="rId6"/>
    <sheet name="sales" sheetId="5" r:id="rId7"/>
    <sheet name="Sheet7" sheetId="7" r:id="rId8"/>
    <sheet name="Sheet8" sheetId="8" r:id="rId9"/>
    <sheet name="Sheet9" sheetId="9" r:id="rId10"/>
    <sheet name="Sheet10" sheetId="10" r:id="rId11"/>
    <sheet name="Sheet11" sheetId="11" r:id="rId12"/>
    <sheet name="Sheet13" sheetId="13" r:id="rId13"/>
    <sheet name="Sheet12" sheetId="12" r:id="rId14"/>
    <sheet name="dashboard" sheetId="6" r:id="rId15"/>
  </sheets>
  <definedNames>
    <definedName name="_xlcn.WorksheetConnection_Book1Table11" hidden="1">suppliers[]</definedName>
    <definedName name="_xlcn.WorksheetConnection_Book1Table21" hidden="1">stores[]</definedName>
    <definedName name="_xlcn.WorksheetConnection_Book1Table31" hidden="1">products[]</definedName>
    <definedName name="_xlcn.WorksheetConnection_Book1Table41" hidden="1">customers[]</definedName>
    <definedName name="_xlcn.WorksheetConnection_Book1Table51" hidden="1">sales[]</definedName>
    <definedName name="Slicer_Category">#N/A</definedName>
    <definedName name="Slicer_Gender">#N/A</definedName>
    <definedName name="Slicer_Gender1">#N/A</definedName>
    <definedName name="Slicer_Month">#N/A</definedName>
    <definedName name="Slicer_Product_Name">#N/A</definedName>
    <definedName name="Slicer_Supplier_Name">#N/A</definedName>
  </definedNames>
  <calcPr calcId="191029"/>
  <pivotCaches>
    <pivotCache cacheId="63" r:id="rId16"/>
    <pivotCache cacheId="112" r:id="rId17"/>
    <pivotCache cacheId="133" r:id="rId18"/>
    <pivotCache cacheId="136" r:id="rId19"/>
    <pivotCache cacheId="139" r:id="rId20"/>
    <pivotCache cacheId="142" r:id="rId21"/>
    <pivotCache cacheId="145" r:id="rId22"/>
    <pivotCache cacheId="148" r:id="rId23"/>
    <pivotCache cacheId="150" r:id="rId24"/>
  </pivotCaches>
  <extLst>
    <ext xmlns:x14="http://schemas.microsoft.com/office/spreadsheetml/2009/9/main" uri="{876F7934-8845-4945-9796-88D515C7AA90}">
      <x14:pivotCaches>
        <pivotCache cacheId="15"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Book1!Table5"/>
          <x15:modelTable id="Table4" name="Table4" connection="WorksheetConnection_Book1!Table4"/>
          <x15:modelTable id="Table3" name="Table3" connection="WorksheetConnection_Book1!Table3"/>
          <x15:modelTable id="Table2" name="Table2" connection="WorksheetConnection_Book1!Table2"/>
          <x15:modelTable id="Table1" name="Table1" connection="WorksheetConnection_Book1!Table1"/>
        </x15:modelTables>
        <x15:modelRelationships>
          <x15:modelRelationship fromTable="Table3" fromColumn="Supplier_ID" toTable="Table1" toColumn="Supplier_ID"/>
          <x15:modelRelationship fromTable="Table4" fromColumn="Store_ID" toTable="Table2" toColumn="Store_ID"/>
          <x15:modelRelationship fromTable="Table5" fromColumn="Customer_ID" toTable="Table4" toColumn="Customer_ID"/>
          <x15:modelRelationship fromTable="Table5" fromColumn="Product_ID" toTable="Table3"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2"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F503" i="5"/>
  <c r="G503" i="5"/>
  <c r="A50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A73BF6-D40E-434F-9080-00AA20FB0A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E42B5FC-906D-499C-A676-7AABF59DC982}"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3" xr16:uid="{4D2E1B0C-18C5-4157-BB6C-B7A12FB39F96}"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4" xr16:uid="{21477B24-C7A6-4CD8-AD73-EDD70548C5EA}"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 id="5" xr16:uid="{FB95518C-1AC1-483E-92CA-EF2F82B14DA2}" name="WorksheetConnection_Book1!Table4" type="102" refreshedVersion="8" minRefreshableVersion="5">
    <extLst>
      <ext xmlns:x15="http://schemas.microsoft.com/office/spreadsheetml/2010/11/main" uri="{DE250136-89BD-433C-8126-D09CA5730AF9}">
        <x15:connection id="Table4">
          <x15:rangePr sourceName="_xlcn.WorksheetConnection_Book1Table41"/>
        </x15:connection>
      </ext>
    </extLst>
  </connection>
  <connection id="6" xr16:uid="{E9EF5453-EA8A-4D8B-B550-90E412AFFA39}" name="WorksheetConnection_Book1!Table5" type="102" refreshedVersion="8" minRefreshableVersion="5">
    <extLst>
      <ext xmlns:x15="http://schemas.microsoft.com/office/spreadsheetml/2010/11/main" uri="{DE250136-89BD-433C-8126-D09CA5730AF9}">
        <x15:connection id="Table5">
          <x15:rangePr sourceName="_xlcn.WorksheetConnection_Book1Table51"/>
        </x15:connection>
      </ext>
    </extLst>
  </connection>
</connections>
</file>

<file path=xl/sharedStrings.xml><?xml version="1.0" encoding="utf-8"?>
<sst xmlns="http://schemas.openxmlformats.org/spreadsheetml/2006/main" count="3809" uniqueCount="1314">
  <si>
    <t>Supplier_ID</t>
  </si>
  <si>
    <t>Supplier_Name</t>
  </si>
  <si>
    <t>City</t>
  </si>
  <si>
    <t>Contact_No</t>
  </si>
  <si>
    <t>SUP01</t>
  </si>
  <si>
    <t>Tech Distributors</t>
  </si>
  <si>
    <t>Pune</t>
  </si>
  <si>
    <t>9439560576</t>
  </si>
  <si>
    <t>SUP02</t>
  </si>
  <si>
    <t>Smart Electronics</t>
  </si>
  <si>
    <t>Vijayawada</t>
  </si>
  <si>
    <t>9561308984</t>
  </si>
  <si>
    <t>SUP03</t>
  </si>
  <si>
    <t>Prime Gadgets</t>
  </si>
  <si>
    <t>Bengaluru</t>
  </si>
  <si>
    <t>9927428944</t>
  </si>
  <si>
    <t>SUP04</t>
  </si>
  <si>
    <t>Digital World</t>
  </si>
  <si>
    <t>Visakhapatnam</t>
  </si>
  <si>
    <t>9826574580</t>
  </si>
  <si>
    <t>SUP05</t>
  </si>
  <si>
    <t>Mega Retail Supply</t>
  </si>
  <si>
    <t>9838661651</t>
  </si>
  <si>
    <t>SUP06</t>
  </si>
  <si>
    <t>Elite Tech</t>
  </si>
  <si>
    <t>9105702602</t>
  </si>
  <si>
    <t>SUP07</t>
  </si>
  <si>
    <t>NextGen Devices</t>
  </si>
  <si>
    <t>9726360831</t>
  </si>
  <si>
    <t>SUP08</t>
  </si>
  <si>
    <t>City Suppliers</t>
  </si>
  <si>
    <t>Guntur</t>
  </si>
  <si>
    <t>9548537239</t>
  </si>
  <si>
    <t>SUP09</t>
  </si>
  <si>
    <t>Global Electronics</t>
  </si>
  <si>
    <t>9863224388</t>
  </si>
  <si>
    <t>SUP10</t>
  </si>
  <si>
    <t>Future Tech</t>
  </si>
  <si>
    <t>9148276939</t>
  </si>
  <si>
    <t>Store_ID</t>
  </si>
  <si>
    <t>Store_Name</t>
  </si>
  <si>
    <t>Region</t>
  </si>
  <si>
    <t>S01</t>
  </si>
  <si>
    <t>Hyderabad Store</t>
  </si>
  <si>
    <t>Hyderabad</t>
  </si>
  <si>
    <t>South</t>
  </si>
  <si>
    <t>S02</t>
  </si>
  <si>
    <t>Vijayawada Store</t>
  </si>
  <si>
    <t>S03</t>
  </si>
  <si>
    <t>Visakhapatnam Store</t>
  </si>
  <si>
    <t>S04</t>
  </si>
  <si>
    <t>Guntur Store</t>
  </si>
  <si>
    <t>East</t>
  </si>
  <si>
    <t>S05</t>
  </si>
  <si>
    <t>Warangal Store</t>
  </si>
  <si>
    <t>Warangal</t>
  </si>
  <si>
    <t>North</t>
  </si>
  <si>
    <t>S06</t>
  </si>
  <si>
    <t>Bengaluru Store</t>
  </si>
  <si>
    <t>S07</t>
  </si>
  <si>
    <t>Chennai Store</t>
  </si>
  <si>
    <t>Chennai</t>
  </si>
  <si>
    <t>S08</t>
  </si>
  <si>
    <t>Pune Store</t>
  </si>
  <si>
    <t>West</t>
  </si>
  <si>
    <t>Product_ID</t>
  </si>
  <si>
    <t>Product_Name</t>
  </si>
  <si>
    <t>Category</t>
  </si>
  <si>
    <t>Unit_Price</t>
  </si>
  <si>
    <t>P01</t>
  </si>
  <si>
    <t>Headphones 1</t>
  </si>
  <si>
    <t>Accessories</t>
  </si>
  <si>
    <t>P02</t>
  </si>
  <si>
    <t>Headphones 2</t>
  </si>
  <si>
    <t>Home Appliances</t>
  </si>
  <si>
    <t>P03</t>
  </si>
  <si>
    <t>Smart Watch 3</t>
  </si>
  <si>
    <t>P04</t>
  </si>
  <si>
    <t>Monitor 4</t>
  </si>
  <si>
    <t>P05</t>
  </si>
  <si>
    <t>Smartphone 5</t>
  </si>
  <si>
    <t>P06</t>
  </si>
  <si>
    <t>Camera 6</t>
  </si>
  <si>
    <t>Electronics</t>
  </si>
  <si>
    <t>P07</t>
  </si>
  <si>
    <t>Headphones 7</t>
  </si>
  <si>
    <t>P08</t>
  </si>
  <si>
    <t>Laptop 8</t>
  </si>
  <si>
    <t>P09</t>
  </si>
  <si>
    <t>Headphones 9</t>
  </si>
  <si>
    <t>P10</t>
  </si>
  <si>
    <t>Camera 10</t>
  </si>
  <si>
    <t>P11</t>
  </si>
  <si>
    <t>Smartphone 11</t>
  </si>
  <si>
    <t>P12</t>
  </si>
  <si>
    <t>Mouse 12</t>
  </si>
  <si>
    <t>P13</t>
  </si>
  <si>
    <t>Printer 13</t>
  </si>
  <si>
    <t>P14</t>
  </si>
  <si>
    <t>Camera 14</t>
  </si>
  <si>
    <t>P15</t>
  </si>
  <si>
    <t>Tablet 15</t>
  </si>
  <si>
    <t>P16</t>
  </si>
  <si>
    <t>Power Bank 16</t>
  </si>
  <si>
    <t>P17</t>
  </si>
  <si>
    <t>Mixer 17</t>
  </si>
  <si>
    <t>P18</t>
  </si>
  <si>
    <t>Microwave 18</t>
  </si>
  <si>
    <t>P19</t>
  </si>
  <si>
    <t>Mouse 19</t>
  </si>
  <si>
    <t>P20</t>
  </si>
  <si>
    <t>Keyboard 20</t>
  </si>
  <si>
    <t>P21</t>
  </si>
  <si>
    <t>Monitor 21</t>
  </si>
  <si>
    <t>P22</t>
  </si>
  <si>
    <t>Mixer 22</t>
  </si>
  <si>
    <t>P23</t>
  </si>
  <si>
    <t>Microwave 23</t>
  </si>
  <si>
    <t>P24</t>
  </si>
  <si>
    <t>Tablet 24</t>
  </si>
  <si>
    <t>P25</t>
  </si>
  <si>
    <t>Printer 25</t>
  </si>
  <si>
    <t>P26</t>
  </si>
  <si>
    <t>Router 26</t>
  </si>
  <si>
    <t>P27</t>
  </si>
  <si>
    <t>Mixer 27</t>
  </si>
  <si>
    <t>P28</t>
  </si>
  <si>
    <t>Router 28</t>
  </si>
  <si>
    <t>P29</t>
  </si>
  <si>
    <t>Printer 29</t>
  </si>
  <si>
    <t>P30</t>
  </si>
  <si>
    <t>Monitor 30</t>
  </si>
  <si>
    <t>Customer_ID</t>
  </si>
  <si>
    <t>Customer_Name</t>
  </si>
  <si>
    <t>Gender</t>
  </si>
  <si>
    <t>Age</t>
  </si>
  <si>
    <t>Join_Date</t>
  </si>
  <si>
    <t>Akhil_1</t>
  </si>
  <si>
    <t>Female</t>
  </si>
  <si>
    <t>2025-05-29</t>
  </si>
  <si>
    <t>Ramesh_2</t>
  </si>
  <si>
    <t>2025-05-31</t>
  </si>
  <si>
    <t>Priya_3</t>
  </si>
  <si>
    <t>Male</t>
  </si>
  <si>
    <t>2025-11-19</t>
  </si>
  <si>
    <t>Rahul_4</t>
  </si>
  <si>
    <t>2025-01-07</t>
  </si>
  <si>
    <t>Rahul_5</t>
  </si>
  <si>
    <t>2025-01-04</t>
  </si>
  <si>
    <t>Anjali_6</t>
  </si>
  <si>
    <t>2024-10-13</t>
  </si>
  <si>
    <t>Rahul_7</t>
  </si>
  <si>
    <t>2025-01-19</t>
  </si>
  <si>
    <t>Akhil_8</t>
  </si>
  <si>
    <t>2025-05-19</t>
  </si>
  <si>
    <t>Akhil_9</t>
  </si>
  <si>
    <t>2025-09-01</t>
  </si>
  <si>
    <t>Priya_10</t>
  </si>
  <si>
    <t>2024-08-14</t>
  </si>
  <si>
    <t>Divya_11</t>
  </si>
  <si>
    <t>2025-11-08</t>
  </si>
  <si>
    <t>Anjali_12</t>
  </si>
  <si>
    <t>2025-01-10</t>
  </si>
  <si>
    <t>Anjali_13</t>
  </si>
  <si>
    <t>2025-07-24</t>
  </si>
  <si>
    <t>Arjun_14</t>
  </si>
  <si>
    <t>2024-05-15</t>
  </si>
  <si>
    <t>Keerthi_15</t>
  </si>
  <si>
    <t>2024-06-24</t>
  </si>
  <si>
    <t>Sneha_16</t>
  </si>
  <si>
    <t>2025-04-06</t>
  </si>
  <si>
    <t>Kiran_17</t>
  </si>
  <si>
    <t>2024-05-04</t>
  </si>
  <si>
    <t>Rahul_18</t>
  </si>
  <si>
    <t>2024-12-03</t>
  </si>
  <si>
    <t>Ravi_19</t>
  </si>
  <si>
    <t>2025-10-24</t>
  </si>
  <si>
    <t>Nikhil_20</t>
  </si>
  <si>
    <t>2024-11-17</t>
  </si>
  <si>
    <t>Priya_21</t>
  </si>
  <si>
    <t>2025-10-09</t>
  </si>
  <si>
    <t>Priya_22</t>
  </si>
  <si>
    <t>2024-06-01</t>
  </si>
  <si>
    <t>Arjun_23</t>
  </si>
  <si>
    <t>2025-02-28</t>
  </si>
  <si>
    <t>Vikram_24</t>
  </si>
  <si>
    <t>2024-03-28</t>
  </si>
  <si>
    <t>Divya_25</t>
  </si>
  <si>
    <t>2025-10-07</t>
  </si>
  <si>
    <t>Sita_26</t>
  </si>
  <si>
    <t>2025-07-06</t>
  </si>
  <si>
    <t>Sita_27</t>
  </si>
  <si>
    <t>Sneha_28</t>
  </si>
  <si>
    <t>2024-05-21</t>
  </si>
  <si>
    <t>Kiran_29</t>
  </si>
  <si>
    <t>2024-04-10</t>
  </si>
  <si>
    <t>Ramesh_30</t>
  </si>
  <si>
    <t>2025-08-09</t>
  </si>
  <si>
    <t>Akhil_31</t>
  </si>
  <si>
    <t>2025-04-12</t>
  </si>
  <si>
    <t>Sneha_32</t>
  </si>
  <si>
    <t>2024-03-29</t>
  </si>
  <si>
    <t>Kiran_33</t>
  </si>
  <si>
    <t>2024-06-30</t>
  </si>
  <si>
    <t>Anjali_34</t>
  </si>
  <si>
    <t>2024-06-02</t>
  </si>
  <si>
    <t>Priya_35</t>
  </si>
  <si>
    <t>2024-09-05</t>
  </si>
  <si>
    <t>Ramesh_36</t>
  </si>
  <si>
    <t>2025-08-04</t>
  </si>
  <si>
    <t>Akhil_37</t>
  </si>
  <si>
    <t>2024-06-23</t>
  </si>
  <si>
    <t>Rahul_38</t>
  </si>
  <si>
    <t>2024-08-28</t>
  </si>
  <si>
    <t>Ramesh_39</t>
  </si>
  <si>
    <t>Sneha_40</t>
  </si>
  <si>
    <t>2025-06-16</t>
  </si>
  <si>
    <t>Arjun_41</t>
  </si>
  <si>
    <t>2025-09-15</t>
  </si>
  <si>
    <t>Nikhil_42</t>
  </si>
  <si>
    <t>2024-09-19</t>
  </si>
  <si>
    <t>Pooja_43</t>
  </si>
  <si>
    <t>2024-10-11</t>
  </si>
  <si>
    <t>Sita_44</t>
  </si>
  <si>
    <t>2024-10-04</t>
  </si>
  <si>
    <t>Rahul_45</t>
  </si>
  <si>
    <t>2025-10-30</t>
  </si>
  <si>
    <t>Divya_46</t>
  </si>
  <si>
    <t>2025-09-22</t>
  </si>
  <si>
    <t>Nikhil_47</t>
  </si>
  <si>
    <t>2024-12-16</t>
  </si>
  <si>
    <t>Rahul_48</t>
  </si>
  <si>
    <t>2024-02-17</t>
  </si>
  <si>
    <t>Kiran_49</t>
  </si>
  <si>
    <t>2024-01-17</t>
  </si>
  <si>
    <t>Sneha_50</t>
  </si>
  <si>
    <t>2024-03-31</t>
  </si>
  <si>
    <t>Priya_51</t>
  </si>
  <si>
    <t>2024-12-25</t>
  </si>
  <si>
    <t>Divya_52</t>
  </si>
  <si>
    <t>2024-05-29</t>
  </si>
  <si>
    <t>Ramesh_53</t>
  </si>
  <si>
    <t>2024-10-28</t>
  </si>
  <si>
    <t>Keerthi_54</t>
  </si>
  <si>
    <t>Divya_55</t>
  </si>
  <si>
    <t>2024-09-01</t>
  </si>
  <si>
    <t>Vikram_56</t>
  </si>
  <si>
    <t>2025-01-11</t>
  </si>
  <si>
    <t>Kiran_57</t>
  </si>
  <si>
    <t>2025-04-10</t>
  </si>
  <si>
    <t>Arjun_58</t>
  </si>
  <si>
    <t>2024-01-30</t>
  </si>
  <si>
    <t>Ravi_59</t>
  </si>
  <si>
    <t>Ravi_60</t>
  </si>
  <si>
    <t>2025-08-03</t>
  </si>
  <si>
    <t>Vikram_61</t>
  </si>
  <si>
    <t>2024-12-27</t>
  </si>
  <si>
    <t>Rahul_62</t>
  </si>
  <si>
    <t>2024-07-22</t>
  </si>
  <si>
    <t>Nikhil_63</t>
  </si>
  <si>
    <t>2024-06-21</t>
  </si>
  <si>
    <t>Anjali_64</t>
  </si>
  <si>
    <t>2025-07-04</t>
  </si>
  <si>
    <t>Vikram_65</t>
  </si>
  <si>
    <t>2025-01-09</t>
  </si>
  <si>
    <t>Akhil_66</t>
  </si>
  <si>
    <t>2025-06-02</t>
  </si>
  <si>
    <t>Ramesh_67</t>
  </si>
  <si>
    <t>2024-12-04</t>
  </si>
  <si>
    <t>Nikhil_68</t>
  </si>
  <si>
    <t>Arjun_69</t>
  </si>
  <si>
    <t>Keerthi_70</t>
  </si>
  <si>
    <t>2025-05-01</t>
  </si>
  <si>
    <t>Rahul_71</t>
  </si>
  <si>
    <t>2024-04-16</t>
  </si>
  <si>
    <t>Sita_72</t>
  </si>
  <si>
    <t>2025-10-02</t>
  </si>
  <si>
    <t>Arjun_73</t>
  </si>
  <si>
    <t>2025-04-26</t>
  </si>
  <si>
    <t>Sita_74</t>
  </si>
  <si>
    <t>2024-10-20</t>
  </si>
  <si>
    <t>Nikhil_75</t>
  </si>
  <si>
    <t>2025-02-05</t>
  </si>
  <si>
    <t>Pooja_76</t>
  </si>
  <si>
    <t>2025-10-11</t>
  </si>
  <si>
    <t>Sneha_77</t>
  </si>
  <si>
    <t>2024-01-04</t>
  </si>
  <si>
    <t>Pooja_78</t>
  </si>
  <si>
    <t>2025-11-04</t>
  </si>
  <si>
    <t>Priya_79</t>
  </si>
  <si>
    <t>Sita_80</t>
  </si>
  <si>
    <t>2024-01-29</t>
  </si>
  <si>
    <t>Anjali_81</t>
  </si>
  <si>
    <t>2025-04-08</t>
  </si>
  <si>
    <t>Keerthi_82</t>
  </si>
  <si>
    <t>2024-07-11</t>
  </si>
  <si>
    <t>Sita_83</t>
  </si>
  <si>
    <t>2024-08-23</t>
  </si>
  <si>
    <t>Vikram_84</t>
  </si>
  <si>
    <t>2024-11-27</t>
  </si>
  <si>
    <t>Sneha_85</t>
  </si>
  <si>
    <t>2025-11-25</t>
  </si>
  <si>
    <t>Priya_86</t>
  </si>
  <si>
    <t>2025-09-23</t>
  </si>
  <si>
    <t>Anjali_87</t>
  </si>
  <si>
    <t>2025-04-15</t>
  </si>
  <si>
    <t>Anjali_88</t>
  </si>
  <si>
    <t>Akhil_89</t>
  </si>
  <si>
    <t>2025-05-04</t>
  </si>
  <si>
    <t>Sita_90</t>
  </si>
  <si>
    <t>2024-12-17</t>
  </si>
  <si>
    <t>Anjali_91</t>
  </si>
  <si>
    <t>2024-02-21</t>
  </si>
  <si>
    <t>Priya_92</t>
  </si>
  <si>
    <t>2024-06-06</t>
  </si>
  <si>
    <t>Arjun_93</t>
  </si>
  <si>
    <t>2025-05-06</t>
  </si>
  <si>
    <t>Keerthi_94</t>
  </si>
  <si>
    <t>Divya_95</t>
  </si>
  <si>
    <t>2024-12-05</t>
  </si>
  <si>
    <t>Akhil_96</t>
  </si>
  <si>
    <t>2025-07-03</t>
  </si>
  <si>
    <t>Priya_97</t>
  </si>
  <si>
    <t>2025-07-30</t>
  </si>
  <si>
    <t>Ravi_98</t>
  </si>
  <si>
    <t>2024-03-16</t>
  </si>
  <si>
    <t>Akhil_99</t>
  </si>
  <si>
    <t>2024-03-17</t>
  </si>
  <si>
    <t>Vikram_100</t>
  </si>
  <si>
    <t>2024-03-05</t>
  </si>
  <si>
    <t>Anjali_101</t>
  </si>
  <si>
    <t>Rahul_102</t>
  </si>
  <si>
    <t>2025-06-13</t>
  </si>
  <si>
    <t>Keerthi_103</t>
  </si>
  <si>
    <t>2025-01-12</t>
  </si>
  <si>
    <t>Ravi_104</t>
  </si>
  <si>
    <t>2025-01-18</t>
  </si>
  <si>
    <t>Divya_105</t>
  </si>
  <si>
    <t>2024-02-26</t>
  </si>
  <si>
    <t>Nikhil_106</t>
  </si>
  <si>
    <t>2024-11-02</t>
  </si>
  <si>
    <t>Keerthi_107</t>
  </si>
  <si>
    <t>2025-04-16</t>
  </si>
  <si>
    <t>Priya_108</t>
  </si>
  <si>
    <t>2025-04-25</t>
  </si>
  <si>
    <t>Sita_109</t>
  </si>
  <si>
    <t>2024-08-26</t>
  </si>
  <si>
    <t>Sita_110</t>
  </si>
  <si>
    <t>2025-10-20</t>
  </si>
  <si>
    <t>Ravi_111</t>
  </si>
  <si>
    <t>2025-09-30</t>
  </si>
  <si>
    <t>Sita_112</t>
  </si>
  <si>
    <t>2025-04-19</t>
  </si>
  <si>
    <t>Nikhil_113</t>
  </si>
  <si>
    <t>2024-01-03</t>
  </si>
  <si>
    <t>Priya_114</t>
  </si>
  <si>
    <t>2025-01-16</t>
  </si>
  <si>
    <t>Arjun_115</t>
  </si>
  <si>
    <t>2025-03-27</t>
  </si>
  <si>
    <t>Priya_116</t>
  </si>
  <si>
    <t>2025-04-07</t>
  </si>
  <si>
    <t>Sneha_117</t>
  </si>
  <si>
    <t>2024-02-27</t>
  </si>
  <si>
    <t>Ravi_118</t>
  </si>
  <si>
    <t>2024-09-18</t>
  </si>
  <si>
    <t>Ramesh_119</t>
  </si>
  <si>
    <t>2024-07-28</t>
  </si>
  <si>
    <t>Pooja_120</t>
  </si>
  <si>
    <t>2025-08-30</t>
  </si>
  <si>
    <t>Akhil_121</t>
  </si>
  <si>
    <t>2024-07-31</t>
  </si>
  <si>
    <t>Rahul_122</t>
  </si>
  <si>
    <t>2024-07-06</t>
  </si>
  <si>
    <t>Ramesh_123</t>
  </si>
  <si>
    <t>2025-10-23</t>
  </si>
  <si>
    <t>Divya_124</t>
  </si>
  <si>
    <t>2024-07-08</t>
  </si>
  <si>
    <t>Ramesh_125</t>
  </si>
  <si>
    <t>2025-02-22</t>
  </si>
  <si>
    <t>Arjun_126</t>
  </si>
  <si>
    <t>2025-02-02</t>
  </si>
  <si>
    <t>Nikhil_127</t>
  </si>
  <si>
    <t>2025-09-05</t>
  </si>
  <si>
    <t>Keerthi_128</t>
  </si>
  <si>
    <t>2024-04-28</t>
  </si>
  <si>
    <t>Sita_129</t>
  </si>
  <si>
    <t>2024-03-30</t>
  </si>
  <si>
    <t>Kiran_130</t>
  </si>
  <si>
    <t>Vikram_131</t>
  </si>
  <si>
    <t>2025-03-10</t>
  </si>
  <si>
    <t>Pooja_132</t>
  </si>
  <si>
    <t>2024-08-12</t>
  </si>
  <si>
    <t>Akhil_133</t>
  </si>
  <si>
    <t>2024-05-03</t>
  </si>
  <si>
    <t>Vikram_134</t>
  </si>
  <si>
    <t>2025-10-17</t>
  </si>
  <si>
    <t>Arjun_135</t>
  </si>
  <si>
    <t>2025-06-28</t>
  </si>
  <si>
    <t>Kiran_136</t>
  </si>
  <si>
    <t>2025-05-23</t>
  </si>
  <si>
    <t>Nikhil_137</t>
  </si>
  <si>
    <t>2025-02-03</t>
  </si>
  <si>
    <t>Rahul_138</t>
  </si>
  <si>
    <t>2024-12-23</t>
  </si>
  <si>
    <t>Nikhil_139</t>
  </si>
  <si>
    <t>2024-10-05</t>
  </si>
  <si>
    <t>Priya_140</t>
  </si>
  <si>
    <t>2024-06-22</t>
  </si>
  <si>
    <t>Arjun_141</t>
  </si>
  <si>
    <t>2025-06-26</t>
  </si>
  <si>
    <t>Arjun_142</t>
  </si>
  <si>
    <t>Sita_143</t>
  </si>
  <si>
    <t>2025-03-24</t>
  </si>
  <si>
    <t>Ramesh_144</t>
  </si>
  <si>
    <t>2024-10-17</t>
  </si>
  <si>
    <t>Kiran_145</t>
  </si>
  <si>
    <t>Sita_146</t>
  </si>
  <si>
    <t>2024-10-26</t>
  </si>
  <si>
    <t>Akhil_147</t>
  </si>
  <si>
    <t>2024-02-28</t>
  </si>
  <si>
    <t>Priya_148</t>
  </si>
  <si>
    <t>2025-08-06</t>
  </si>
  <si>
    <t>Akhil_149</t>
  </si>
  <si>
    <t>2025-07-26</t>
  </si>
  <si>
    <t>Priya_150</t>
  </si>
  <si>
    <t>2025-05-05</t>
  </si>
  <si>
    <t>Priya_151</t>
  </si>
  <si>
    <t>2024-05-31</t>
  </si>
  <si>
    <t>Ravi_152</t>
  </si>
  <si>
    <t>2024-02-12</t>
  </si>
  <si>
    <t>Ramesh_153</t>
  </si>
  <si>
    <t>2024-05-13</t>
  </si>
  <si>
    <t>Priya_154</t>
  </si>
  <si>
    <t>2024-08-10</t>
  </si>
  <si>
    <t>Divya_155</t>
  </si>
  <si>
    <t>2025-03-13</t>
  </si>
  <si>
    <t>Pooja_156</t>
  </si>
  <si>
    <t>Nikhil_157</t>
  </si>
  <si>
    <t>2024-09-14</t>
  </si>
  <si>
    <t>Akhil_158</t>
  </si>
  <si>
    <t>2025-05-26</t>
  </si>
  <si>
    <t>Anjali_159</t>
  </si>
  <si>
    <t>2025-02-08</t>
  </si>
  <si>
    <t>Priya_160</t>
  </si>
  <si>
    <t>2024-12-31</t>
  </si>
  <si>
    <t>Arjun_161</t>
  </si>
  <si>
    <t>2024-05-14</t>
  </si>
  <si>
    <t>Vikram_162</t>
  </si>
  <si>
    <t>2025-02-10</t>
  </si>
  <si>
    <t>Pooja_163</t>
  </si>
  <si>
    <t>2024-11-15</t>
  </si>
  <si>
    <t>Anjali_164</t>
  </si>
  <si>
    <t>2025-06-19</t>
  </si>
  <si>
    <t>Akhil_165</t>
  </si>
  <si>
    <t>2025-01-31</t>
  </si>
  <si>
    <t>Arjun_166</t>
  </si>
  <si>
    <t>2025-09-16</t>
  </si>
  <si>
    <t>Nikhil_167</t>
  </si>
  <si>
    <t>2024-02-04</t>
  </si>
  <si>
    <t>Ramesh_168</t>
  </si>
  <si>
    <t>2025-04-02</t>
  </si>
  <si>
    <t>Arjun_169</t>
  </si>
  <si>
    <t>2025-08-15</t>
  </si>
  <si>
    <t>Ravi_170</t>
  </si>
  <si>
    <t>2025-09-02</t>
  </si>
  <si>
    <t>Priya_171</t>
  </si>
  <si>
    <t>2025-01-27</t>
  </si>
  <si>
    <t>Priya_172</t>
  </si>
  <si>
    <t>2024-11-24</t>
  </si>
  <si>
    <t>Rahul_173</t>
  </si>
  <si>
    <t>Keerthi_174</t>
  </si>
  <si>
    <t>2024-09-24</t>
  </si>
  <si>
    <t>Ramesh_175</t>
  </si>
  <si>
    <t>2025-03-25</t>
  </si>
  <si>
    <t>Vikram_176</t>
  </si>
  <si>
    <t>2025-06-29</t>
  </si>
  <si>
    <t>Vikram_177</t>
  </si>
  <si>
    <t>2024-11-01</t>
  </si>
  <si>
    <t>Divya_178</t>
  </si>
  <si>
    <t>Akhil_179</t>
  </si>
  <si>
    <t>Anjali_180</t>
  </si>
  <si>
    <t>2024-11-21</t>
  </si>
  <si>
    <t>Arjun_181</t>
  </si>
  <si>
    <t>2024-08-04</t>
  </si>
  <si>
    <t>Keerthi_182</t>
  </si>
  <si>
    <t>2025-03-23</t>
  </si>
  <si>
    <t>Sita_183</t>
  </si>
  <si>
    <t>Keerthi_184</t>
  </si>
  <si>
    <t>2024-09-25</t>
  </si>
  <si>
    <t>Akhil_185</t>
  </si>
  <si>
    <t>Keerthi_186</t>
  </si>
  <si>
    <t>Nikhil_187</t>
  </si>
  <si>
    <t>2024-08-17</t>
  </si>
  <si>
    <t>Rahul_188</t>
  </si>
  <si>
    <t>2025-07-08</t>
  </si>
  <si>
    <t>Priya_189</t>
  </si>
  <si>
    <t>2025-01-24</t>
  </si>
  <si>
    <t>Nikhil_190</t>
  </si>
  <si>
    <t>Akhil_191</t>
  </si>
  <si>
    <t>2024-04-11</t>
  </si>
  <si>
    <t>Ravi_192</t>
  </si>
  <si>
    <t>2024-01-18</t>
  </si>
  <si>
    <t>Priya_193</t>
  </si>
  <si>
    <t>2024-08-11</t>
  </si>
  <si>
    <t>Kiran_194</t>
  </si>
  <si>
    <t>Ramesh_195</t>
  </si>
  <si>
    <t>2025-04-17</t>
  </si>
  <si>
    <t>Pooja_196</t>
  </si>
  <si>
    <t>2025-11-09</t>
  </si>
  <si>
    <t>Ravi_197</t>
  </si>
  <si>
    <t>Anjali_198</t>
  </si>
  <si>
    <t>2024-01-11</t>
  </si>
  <si>
    <t>Ravi_199</t>
  </si>
  <si>
    <t>Nikhil_200</t>
  </si>
  <si>
    <t>Sale_ID</t>
  </si>
  <si>
    <t>Sale_Date</t>
  </si>
  <si>
    <t>Quantity</t>
  </si>
  <si>
    <t>Total_Amount</t>
  </si>
  <si>
    <t>Month</t>
  </si>
  <si>
    <t>Year</t>
  </si>
  <si>
    <t>SA001</t>
  </si>
  <si>
    <t>2025-11-28</t>
  </si>
  <si>
    <t>November</t>
  </si>
  <si>
    <t>SA002</t>
  </si>
  <si>
    <t>2025-03-12</t>
  </si>
  <si>
    <t>March</t>
  </si>
  <si>
    <t>SA003</t>
  </si>
  <si>
    <t>2025-12-28</t>
  </si>
  <si>
    <t>December</t>
  </si>
  <si>
    <t>SA004</t>
  </si>
  <si>
    <t>2025-01-30</t>
  </si>
  <si>
    <t>January</t>
  </si>
  <si>
    <t>SA005</t>
  </si>
  <si>
    <t>2025-09-13</t>
  </si>
  <si>
    <t>September</t>
  </si>
  <si>
    <t>SA006</t>
  </si>
  <si>
    <t>2025-02-25</t>
  </si>
  <si>
    <t>February</t>
  </si>
  <si>
    <t>SA007</t>
  </si>
  <si>
    <t>2025-10-22</t>
  </si>
  <si>
    <t>October</t>
  </si>
  <si>
    <t>SA008</t>
  </si>
  <si>
    <t>2026-03-10</t>
  </si>
  <si>
    <t>SA009</t>
  </si>
  <si>
    <t>2025-05-25</t>
  </si>
  <si>
    <t>May</t>
  </si>
  <si>
    <t>SA010</t>
  </si>
  <si>
    <t>2025-12-31</t>
  </si>
  <si>
    <t>SA011</t>
  </si>
  <si>
    <t>2025-05-15</t>
  </si>
  <si>
    <t>SA012</t>
  </si>
  <si>
    <t>2025-09-14</t>
  </si>
  <si>
    <t>SA013</t>
  </si>
  <si>
    <t>2025-02-18</t>
  </si>
  <si>
    <t>SA014</t>
  </si>
  <si>
    <t>2026-01-22</t>
  </si>
  <si>
    <t>SA015</t>
  </si>
  <si>
    <t>2026-04-05</t>
  </si>
  <si>
    <t>April</t>
  </si>
  <si>
    <t>SA016</t>
  </si>
  <si>
    <t>2025-08-31</t>
  </si>
  <si>
    <t>August</t>
  </si>
  <si>
    <t>SA017</t>
  </si>
  <si>
    <t>SA018</t>
  </si>
  <si>
    <t>SA019</t>
  </si>
  <si>
    <t>2026-04-11</t>
  </si>
  <si>
    <t>SA020</t>
  </si>
  <si>
    <t>2025-03-29</t>
  </si>
  <si>
    <t>SA021</t>
  </si>
  <si>
    <t>2025-01-06</t>
  </si>
  <si>
    <t>SA022</t>
  </si>
  <si>
    <t>2025-07-12</t>
  </si>
  <si>
    <t>July</t>
  </si>
  <si>
    <t>SA023</t>
  </si>
  <si>
    <t>2026-06-04</t>
  </si>
  <si>
    <t>June</t>
  </si>
  <si>
    <t>SA024</t>
  </si>
  <si>
    <t>2025-06-17</t>
  </si>
  <si>
    <t>SA025</t>
  </si>
  <si>
    <t>2026-01-24</t>
  </si>
  <si>
    <t>SA026</t>
  </si>
  <si>
    <t>SA027</t>
  </si>
  <si>
    <t>SA028</t>
  </si>
  <si>
    <t>2025-09-24</t>
  </si>
  <si>
    <t>SA029</t>
  </si>
  <si>
    <t>2025-07-09</t>
  </si>
  <si>
    <t>SA030</t>
  </si>
  <si>
    <t>2026-06-23</t>
  </si>
  <si>
    <t>SA031</t>
  </si>
  <si>
    <t>2025-05-30</t>
  </si>
  <si>
    <t>SA032</t>
  </si>
  <si>
    <t>SA033</t>
  </si>
  <si>
    <t>SA034</t>
  </si>
  <si>
    <t>2026-02-01</t>
  </si>
  <si>
    <t>SA035</t>
  </si>
  <si>
    <t>SA036</t>
  </si>
  <si>
    <t>2026-04-30</t>
  </si>
  <si>
    <t>SA037</t>
  </si>
  <si>
    <t>2025-06-24</t>
  </si>
  <si>
    <t>SA038</t>
  </si>
  <si>
    <t>2026-02-28</t>
  </si>
  <si>
    <t>SA039</t>
  </si>
  <si>
    <t>2026-01-13</t>
  </si>
  <si>
    <t>SA040</t>
  </si>
  <si>
    <t>SA041</t>
  </si>
  <si>
    <t>2026-06-09</t>
  </si>
  <si>
    <t>SA042</t>
  </si>
  <si>
    <t>2025-01-23</t>
  </si>
  <si>
    <t>SA043</t>
  </si>
  <si>
    <t>SA044</t>
  </si>
  <si>
    <t>2026-03-13</t>
  </si>
  <si>
    <t>SA045</t>
  </si>
  <si>
    <t>2025-11-17</t>
  </si>
  <si>
    <t>SA046</t>
  </si>
  <si>
    <t>SA047</t>
  </si>
  <si>
    <t>2025-09-26</t>
  </si>
  <si>
    <t>SA048</t>
  </si>
  <si>
    <t>2026-05-04</t>
  </si>
  <si>
    <t>SA049</t>
  </si>
  <si>
    <t>2026-01-04</t>
  </si>
  <si>
    <t>SA050</t>
  </si>
  <si>
    <t>2026-04-27</t>
  </si>
  <si>
    <t>SA051</t>
  </si>
  <si>
    <t>2025-06-11</t>
  </si>
  <si>
    <t>SA052</t>
  </si>
  <si>
    <t>2026-04-14</t>
  </si>
  <si>
    <t>SA053</t>
  </si>
  <si>
    <t>SA054</t>
  </si>
  <si>
    <t>SA055</t>
  </si>
  <si>
    <t>2025-03-17</t>
  </si>
  <si>
    <t>SA056</t>
  </si>
  <si>
    <t>2025-11-22</t>
  </si>
  <si>
    <t>SA057</t>
  </si>
  <si>
    <t>2026-06-12</t>
  </si>
  <si>
    <t>SA058</t>
  </si>
  <si>
    <t>2025-03-30</t>
  </si>
  <si>
    <t>SA059</t>
  </si>
  <si>
    <t>SA060</t>
  </si>
  <si>
    <t>2025-11-13</t>
  </si>
  <si>
    <t>SA061</t>
  </si>
  <si>
    <t>SA062</t>
  </si>
  <si>
    <t>2025-07-27</t>
  </si>
  <si>
    <t>SA063</t>
  </si>
  <si>
    <t>SA064</t>
  </si>
  <si>
    <t>2026-06-06</t>
  </si>
  <si>
    <t>SA065</t>
  </si>
  <si>
    <t>2026-03-04</t>
  </si>
  <si>
    <t>SA066</t>
  </si>
  <si>
    <t>2026-05-23</t>
  </si>
  <si>
    <t>SA067</t>
  </si>
  <si>
    <t>SA068</t>
  </si>
  <si>
    <t>2025-03-07</t>
  </si>
  <si>
    <t>SA069</t>
  </si>
  <si>
    <t>SA070</t>
  </si>
  <si>
    <t>2025-06-20</t>
  </si>
  <si>
    <t>SA071</t>
  </si>
  <si>
    <t>2025-03-14</t>
  </si>
  <si>
    <t>SA072</t>
  </si>
  <si>
    <t>2026-02-23</t>
  </si>
  <si>
    <t>SA073</t>
  </si>
  <si>
    <t>2025-10-03</t>
  </si>
  <si>
    <t>SA074</t>
  </si>
  <si>
    <t>2026-03-07</t>
  </si>
  <si>
    <t>SA075</t>
  </si>
  <si>
    <t>2026-05-25</t>
  </si>
  <si>
    <t>SA076</t>
  </si>
  <si>
    <t>2026-01-28</t>
  </si>
  <si>
    <t>SA077</t>
  </si>
  <si>
    <t>2025-02-27</t>
  </si>
  <si>
    <t>SA078</t>
  </si>
  <si>
    <t>2025-10-18</t>
  </si>
  <si>
    <t>SA079</t>
  </si>
  <si>
    <t>2026-04-28</t>
  </si>
  <si>
    <t>SA080</t>
  </si>
  <si>
    <t>2025-09-27</t>
  </si>
  <si>
    <t>SA081</t>
  </si>
  <si>
    <t>2025-09-17</t>
  </si>
  <si>
    <t>SA082</t>
  </si>
  <si>
    <t>SA083</t>
  </si>
  <si>
    <t>SA084</t>
  </si>
  <si>
    <t>2025-04-05</t>
  </si>
  <si>
    <t>SA085</t>
  </si>
  <si>
    <t>SA086</t>
  </si>
  <si>
    <t>SA087</t>
  </si>
  <si>
    <t>2026-04-24</t>
  </si>
  <si>
    <t>SA088</t>
  </si>
  <si>
    <t>SA089</t>
  </si>
  <si>
    <t>2025-10-05</t>
  </si>
  <si>
    <t>SA090</t>
  </si>
  <si>
    <t>2026-02-10</t>
  </si>
  <si>
    <t>SA091</t>
  </si>
  <si>
    <t>SA092</t>
  </si>
  <si>
    <t>SA093</t>
  </si>
  <si>
    <t>2025-08-10</t>
  </si>
  <si>
    <t>SA094</t>
  </si>
  <si>
    <t>SA095</t>
  </si>
  <si>
    <t>2025-12-21</t>
  </si>
  <si>
    <t>SA096</t>
  </si>
  <si>
    <t>SA097</t>
  </si>
  <si>
    <t>2026-03-01</t>
  </si>
  <si>
    <t>SA098</t>
  </si>
  <si>
    <t>SA099</t>
  </si>
  <si>
    <t>SA100</t>
  </si>
  <si>
    <t>SA101</t>
  </si>
  <si>
    <t>SA102</t>
  </si>
  <si>
    <t>SA103</t>
  </si>
  <si>
    <t>2026-02-20</t>
  </si>
  <si>
    <t>SA104</t>
  </si>
  <si>
    <t>2025-07-19</t>
  </si>
  <si>
    <t>SA105</t>
  </si>
  <si>
    <t>SA106</t>
  </si>
  <si>
    <t>SA107</t>
  </si>
  <si>
    <t>2026-02-21</t>
  </si>
  <si>
    <t>SA108</t>
  </si>
  <si>
    <t>2025-07-16</t>
  </si>
  <si>
    <t>SA109</t>
  </si>
  <si>
    <t>SA110</t>
  </si>
  <si>
    <t>2026-06-13</t>
  </si>
  <si>
    <t>SA111</t>
  </si>
  <si>
    <t>2025-10-08</t>
  </si>
  <si>
    <t>SA112</t>
  </si>
  <si>
    <t>SA113</t>
  </si>
  <si>
    <t>2026-02-27</t>
  </si>
  <si>
    <t>SA114</t>
  </si>
  <si>
    <t>2025-05-07</t>
  </si>
  <si>
    <t>SA115</t>
  </si>
  <si>
    <t>SA116</t>
  </si>
  <si>
    <t>SA117</t>
  </si>
  <si>
    <t>2026-03-14</t>
  </si>
  <si>
    <t>SA118</t>
  </si>
  <si>
    <t>2026-01-08</t>
  </si>
  <si>
    <t>SA119</t>
  </si>
  <si>
    <t>2025-05-03</t>
  </si>
  <si>
    <t>SA120</t>
  </si>
  <si>
    <t>2025-07-14</t>
  </si>
  <si>
    <t>SA121</t>
  </si>
  <si>
    <t>SA122</t>
  </si>
  <si>
    <t>2025-04-28</t>
  </si>
  <si>
    <t>SA123</t>
  </si>
  <si>
    <t>2026-03-30</t>
  </si>
  <si>
    <t>SA124</t>
  </si>
  <si>
    <t>2026-05-30</t>
  </si>
  <si>
    <t>SA125</t>
  </si>
  <si>
    <t>2025-06-06</t>
  </si>
  <si>
    <t>SA126</t>
  </si>
  <si>
    <t>2025-04-29</t>
  </si>
  <si>
    <t>SA127</t>
  </si>
  <si>
    <t>2026-06-03</t>
  </si>
  <si>
    <t>SA128</t>
  </si>
  <si>
    <t>SA129</t>
  </si>
  <si>
    <t>2025-11-20</t>
  </si>
  <si>
    <t>SA130</t>
  </si>
  <si>
    <t>2025-05-27</t>
  </si>
  <si>
    <t>SA131</t>
  </si>
  <si>
    <t>SA132</t>
  </si>
  <si>
    <t>2026-01-25</t>
  </si>
  <si>
    <t>SA133</t>
  </si>
  <si>
    <t>2026-01-17</t>
  </si>
  <si>
    <t>SA134</t>
  </si>
  <si>
    <t>SA135</t>
  </si>
  <si>
    <t>2026-06-21</t>
  </si>
  <si>
    <t>SA136</t>
  </si>
  <si>
    <t>2026-04-21</t>
  </si>
  <si>
    <t>SA137</t>
  </si>
  <si>
    <t>2025-05-18</t>
  </si>
  <si>
    <t>SA138</t>
  </si>
  <si>
    <t>SA139</t>
  </si>
  <si>
    <t>2026-03-06</t>
  </si>
  <si>
    <t>SA140</t>
  </si>
  <si>
    <t>2026-05-26</t>
  </si>
  <si>
    <t>SA141</t>
  </si>
  <si>
    <t>SA142</t>
  </si>
  <si>
    <t>SA143</t>
  </si>
  <si>
    <t>SA144</t>
  </si>
  <si>
    <t>2026-02-03</t>
  </si>
  <si>
    <t>SA145</t>
  </si>
  <si>
    <t>2025-01-28</t>
  </si>
  <si>
    <t>SA146</t>
  </si>
  <si>
    <t>2025-09-12</t>
  </si>
  <si>
    <t>SA147</t>
  </si>
  <si>
    <t>2025-01-14</t>
  </si>
  <si>
    <t>SA148</t>
  </si>
  <si>
    <t>2025-07-10</t>
  </si>
  <si>
    <t>SA149</t>
  </si>
  <si>
    <t>2025-08-23</t>
  </si>
  <si>
    <t>SA150</t>
  </si>
  <si>
    <t>2026-06-24</t>
  </si>
  <si>
    <t>SA151</t>
  </si>
  <si>
    <t>SA152</t>
  </si>
  <si>
    <t>2026-06-17</t>
  </si>
  <si>
    <t>SA153</t>
  </si>
  <si>
    <t>2026-01-11</t>
  </si>
  <si>
    <t>SA154</t>
  </si>
  <si>
    <t>SA155</t>
  </si>
  <si>
    <t>2026-04-04</t>
  </si>
  <si>
    <t>SA156</t>
  </si>
  <si>
    <t>SA157</t>
  </si>
  <si>
    <t>2025-07-18</t>
  </si>
  <si>
    <t>SA158</t>
  </si>
  <si>
    <t>2025-02-16</t>
  </si>
  <si>
    <t>SA159</t>
  </si>
  <si>
    <t>2026-01-27</t>
  </si>
  <si>
    <t>SA160</t>
  </si>
  <si>
    <t>2025-09-06</t>
  </si>
  <si>
    <t>SA161</t>
  </si>
  <si>
    <t>2025-04-13</t>
  </si>
  <si>
    <t>SA162</t>
  </si>
  <si>
    <t>2025-08-02</t>
  </si>
  <si>
    <t>SA163</t>
  </si>
  <si>
    <t>2026-06-07</t>
  </si>
  <si>
    <t>SA164</t>
  </si>
  <si>
    <t>SA165</t>
  </si>
  <si>
    <t>SA166</t>
  </si>
  <si>
    <t>SA167</t>
  </si>
  <si>
    <t>2025-06-05</t>
  </si>
  <si>
    <t>SA168</t>
  </si>
  <si>
    <t>SA169</t>
  </si>
  <si>
    <t>2026-02-22</t>
  </si>
  <si>
    <t>SA170</t>
  </si>
  <si>
    <t>2026-04-10</t>
  </si>
  <si>
    <t>SA171</t>
  </si>
  <si>
    <t>2025-06-04</t>
  </si>
  <si>
    <t>SA172</t>
  </si>
  <si>
    <t>2025-11-07</t>
  </si>
  <si>
    <t>SA173</t>
  </si>
  <si>
    <t>2026-05-14</t>
  </si>
  <si>
    <t>SA174</t>
  </si>
  <si>
    <t>2025-07-23</t>
  </si>
  <si>
    <t>SA175</t>
  </si>
  <si>
    <t>2025-03-11</t>
  </si>
  <si>
    <t>SA176</t>
  </si>
  <si>
    <t>2026-03-03</t>
  </si>
  <si>
    <t>SA177</t>
  </si>
  <si>
    <t>2026-06-08</t>
  </si>
  <si>
    <t>SA178</t>
  </si>
  <si>
    <t>2025-09-28</t>
  </si>
  <si>
    <t>SA179</t>
  </si>
  <si>
    <t>SA180</t>
  </si>
  <si>
    <t>SA181</t>
  </si>
  <si>
    <t>2025-12-22</t>
  </si>
  <si>
    <t>SA182</t>
  </si>
  <si>
    <t>SA183</t>
  </si>
  <si>
    <t>2026-03-02</t>
  </si>
  <si>
    <t>SA184</t>
  </si>
  <si>
    <t>2026-05-31</t>
  </si>
  <si>
    <t>SA185</t>
  </si>
  <si>
    <t>SA186</t>
  </si>
  <si>
    <t>SA187</t>
  </si>
  <si>
    <t>2025-12-26</t>
  </si>
  <si>
    <t>SA188</t>
  </si>
  <si>
    <t>2026-01-20</t>
  </si>
  <si>
    <t>SA189</t>
  </si>
  <si>
    <t>2025-12-07</t>
  </si>
  <si>
    <t>SA190</t>
  </si>
  <si>
    <t>2025-12-24</t>
  </si>
  <si>
    <t>SA191</t>
  </si>
  <si>
    <t>SA192</t>
  </si>
  <si>
    <t>2025-12-15</t>
  </si>
  <si>
    <t>SA193</t>
  </si>
  <si>
    <t>2025-04-01</t>
  </si>
  <si>
    <t>SA194</t>
  </si>
  <si>
    <t>SA195</t>
  </si>
  <si>
    <t>2026-05-11</t>
  </si>
  <si>
    <t>SA196</t>
  </si>
  <si>
    <t>2026-05-05</t>
  </si>
  <si>
    <t>SA197</t>
  </si>
  <si>
    <t>2026-03-17</t>
  </si>
  <si>
    <t>SA198</t>
  </si>
  <si>
    <t>2025-10-26</t>
  </si>
  <si>
    <t>SA199</t>
  </si>
  <si>
    <t>2025-08-24</t>
  </si>
  <si>
    <t>SA200</t>
  </si>
  <si>
    <t>2025-03-06</t>
  </si>
  <si>
    <t>SA201</t>
  </si>
  <si>
    <t>SA202</t>
  </si>
  <si>
    <t>2025-10-12</t>
  </si>
  <si>
    <t>SA203</t>
  </si>
  <si>
    <t>SA204</t>
  </si>
  <si>
    <t>2025-05-22</t>
  </si>
  <si>
    <t>SA205</t>
  </si>
  <si>
    <t>2025-08-28</t>
  </si>
  <si>
    <t>SA206</t>
  </si>
  <si>
    <t>SA207</t>
  </si>
  <si>
    <t>SA208</t>
  </si>
  <si>
    <t>SA209</t>
  </si>
  <si>
    <t>2025-08-22</t>
  </si>
  <si>
    <t>SA210</t>
  </si>
  <si>
    <t>2026-06-25</t>
  </si>
  <si>
    <t>SA211</t>
  </si>
  <si>
    <t>SA212</t>
  </si>
  <si>
    <t>2025-09-29</t>
  </si>
  <si>
    <t>SA213</t>
  </si>
  <si>
    <t>SA214</t>
  </si>
  <si>
    <t>2025-07-21</t>
  </si>
  <si>
    <t>SA215</t>
  </si>
  <si>
    <t>2025-10-29</t>
  </si>
  <si>
    <t>SA216</t>
  </si>
  <si>
    <t>SA217</t>
  </si>
  <si>
    <t>SA218</t>
  </si>
  <si>
    <t>2026-06-02</t>
  </si>
  <si>
    <t>SA219</t>
  </si>
  <si>
    <t>2025-02-01</t>
  </si>
  <si>
    <t>SA220</t>
  </si>
  <si>
    <t>SA221</t>
  </si>
  <si>
    <t>SA222</t>
  </si>
  <si>
    <t>2025-10-25</t>
  </si>
  <si>
    <t>SA223</t>
  </si>
  <si>
    <t>2026-04-17</t>
  </si>
  <si>
    <t>SA224</t>
  </si>
  <si>
    <t>SA225</t>
  </si>
  <si>
    <t>2025-06-23</t>
  </si>
  <si>
    <t>SA226</t>
  </si>
  <si>
    <t>SA227</t>
  </si>
  <si>
    <t>2025-11-18</t>
  </si>
  <si>
    <t>SA228</t>
  </si>
  <si>
    <t>2026-04-15</t>
  </si>
  <si>
    <t>SA229</t>
  </si>
  <si>
    <t>SA230</t>
  </si>
  <si>
    <t>2025-07-11</t>
  </si>
  <si>
    <t>SA231</t>
  </si>
  <si>
    <t>2026-02-05</t>
  </si>
  <si>
    <t>SA232</t>
  </si>
  <si>
    <t>2026-04-12</t>
  </si>
  <si>
    <t>SA233</t>
  </si>
  <si>
    <t>SA234</t>
  </si>
  <si>
    <t>2025-08-19</t>
  </si>
  <si>
    <t>SA235</t>
  </si>
  <si>
    <t>2025-11-23</t>
  </si>
  <si>
    <t>SA236</t>
  </si>
  <si>
    <t>SA237</t>
  </si>
  <si>
    <t>SA238</t>
  </si>
  <si>
    <t>SA239</t>
  </si>
  <si>
    <t>2026-04-20</t>
  </si>
  <si>
    <t>SA240</t>
  </si>
  <si>
    <t>SA241</t>
  </si>
  <si>
    <t>2025-11-21</t>
  </si>
  <si>
    <t>SA242</t>
  </si>
  <si>
    <t>SA243</t>
  </si>
  <si>
    <t>2026-05-02</t>
  </si>
  <si>
    <t>SA244</t>
  </si>
  <si>
    <t>2026-05-07</t>
  </si>
  <si>
    <t>SA245</t>
  </si>
  <si>
    <t>SA246</t>
  </si>
  <si>
    <t>2026-05-12</t>
  </si>
  <si>
    <t>SA247</t>
  </si>
  <si>
    <t>SA248</t>
  </si>
  <si>
    <t>2026-01-21</t>
  </si>
  <si>
    <t>SA249</t>
  </si>
  <si>
    <t>SA250</t>
  </si>
  <si>
    <t>SA251</t>
  </si>
  <si>
    <t>2025-10-31</t>
  </si>
  <si>
    <t>SA252</t>
  </si>
  <si>
    <t>2025-02-07</t>
  </si>
  <si>
    <t>SA253</t>
  </si>
  <si>
    <t>SA254</t>
  </si>
  <si>
    <t>2026-03-15</t>
  </si>
  <si>
    <t>SA255</t>
  </si>
  <si>
    <t>2026-01-12</t>
  </si>
  <si>
    <t>SA256</t>
  </si>
  <si>
    <t>SA257</t>
  </si>
  <si>
    <t>2026-01-23</t>
  </si>
  <si>
    <t>SA258</t>
  </si>
  <si>
    <t>2025-08-29</t>
  </si>
  <si>
    <t>SA259</t>
  </si>
  <si>
    <t>SA260</t>
  </si>
  <si>
    <t>SA261</t>
  </si>
  <si>
    <t>2026-01-31</t>
  </si>
  <si>
    <t>SA262</t>
  </si>
  <si>
    <t>2025-08-18</t>
  </si>
  <si>
    <t>SA263</t>
  </si>
  <si>
    <t>2026-03-28</t>
  </si>
  <si>
    <t>SA264</t>
  </si>
  <si>
    <t>SA265</t>
  </si>
  <si>
    <t>2025-12-08</t>
  </si>
  <si>
    <t>SA266</t>
  </si>
  <si>
    <t>2026-03-05</t>
  </si>
  <si>
    <t>SA267</t>
  </si>
  <si>
    <t>SA268</t>
  </si>
  <si>
    <t>2026-05-10</t>
  </si>
  <si>
    <t>SA269</t>
  </si>
  <si>
    <t>SA270</t>
  </si>
  <si>
    <t>2026-03-29</t>
  </si>
  <si>
    <t>SA271</t>
  </si>
  <si>
    <t>SA272</t>
  </si>
  <si>
    <t>SA273</t>
  </si>
  <si>
    <t>2026-05-18</t>
  </si>
  <si>
    <t>SA274</t>
  </si>
  <si>
    <t>2025-05-11</t>
  </si>
  <si>
    <t>SA275</t>
  </si>
  <si>
    <t>SA276</t>
  </si>
  <si>
    <t>2025-08-26</t>
  </si>
  <si>
    <t>SA277</t>
  </si>
  <si>
    <t>2025-03-03</t>
  </si>
  <si>
    <t>SA278</t>
  </si>
  <si>
    <t>2025-12-11</t>
  </si>
  <si>
    <t>SA279</t>
  </si>
  <si>
    <t>2025-11-16</t>
  </si>
  <si>
    <t>SA280</t>
  </si>
  <si>
    <t>2025-12-23</t>
  </si>
  <si>
    <t>SA281</t>
  </si>
  <si>
    <t>2025-12-19</t>
  </si>
  <si>
    <t>SA282</t>
  </si>
  <si>
    <t>SA283</t>
  </si>
  <si>
    <t>2025-02-14</t>
  </si>
  <si>
    <t>SA284</t>
  </si>
  <si>
    <t>SA285</t>
  </si>
  <si>
    <t>SA286</t>
  </si>
  <si>
    <t>2025-06-10</t>
  </si>
  <si>
    <t>SA287</t>
  </si>
  <si>
    <t>2025-06-01</t>
  </si>
  <si>
    <t>SA288</t>
  </si>
  <si>
    <t>2025-12-30</t>
  </si>
  <si>
    <t>SA289</t>
  </si>
  <si>
    <t>SA290</t>
  </si>
  <si>
    <t>2026-04-03</t>
  </si>
  <si>
    <t>SA291</t>
  </si>
  <si>
    <t>SA292</t>
  </si>
  <si>
    <t>2025-09-18</t>
  </si>
  <si>
    <t>SA293</t>
  </si>
  <si>
    <t>2026-02-09</t>
  </si>
  <si>
    <t>SA294</t>
  </si>
  <si>
    <t>SA295</t>
  </si>
  <si>
    <t>2025-07-25</t>
  </si>
  <si>
    <t>SA296</t>
  </si>
  <si>
    <t>2025-12-16</t>
  </si>
  <si>
    <t>SA297</t>
  </si>
  <si>
    <t>SA298</t>
  </si>
  <si>
    <t>2025-11-10</t>
  </si>
  <si>
    <t>SA299</t>
  </si>
  <si>
    <t>SA300</t>
  </si>
  <si>
    <t>SA301</t>
  </si>
  <si>
    <t>2025-04-21</t>
  </si>
  <si>
    <t>SA302</t>
  </si>
  <si>
    <t>SA303</t>
  </si>
  <si>
    <t>SA304</t>
  </si>
  <si>
    <t>2025-12-17</t>
  </si>
  <si>
    <t>SA305</t>
  </si>
  <si>
    <t>SA306</t>
  </si>
  <si>
    <t>SA307</t>
  </si>
  <si>
    <t>SA308</t>
  </si>
  <si>
    <t>SA309</t>
  </si>
  <si>
    <t>SA310</t>
  </si>
  <si>
    <t>SA311</t>
  </si>
  <si>
    <t>SA312</t>
  </si>
  <si>
    <t>SA313</t>
  </si>
  <si>
    <t>2025-04-14</t>
  </si>
  <si>
    <t>SA314</t>
  </si>
  <si>
    <t>2025-11-30</t>
  </si>
  <si>
    <t>SA315</t>
  </si>
  <si>
    <t>SA316</t>
  </si>
  <si>
    <t>2025-12-01</t>
  </si>
  <si>
    <t>SA317</t>
  </si>
  <si>
    <t>2025-02-15</t>
  </si>
  <si>
    <t>SA318</t>
  </si>
  <si>
    <t>SA319</t>
  </si>
  <si>
    <t>SA320</t>
  </si>
  <si>
    <t>SA321</t>
  </si>
  <si>
    <t>2026-02-07</t>
  </si>
  <si>
    <t>SA322</t>
  </si>
  <si>
    <t>2025-02-17</t>
  </si>
  <si>
    <t>SA323</t>
  </si>
  <si>
    <t>2025-04-22</t>
  </si>
  <si>
    <t>SA324</t>
  </si>
  <si>
    <t>SA325</t>
  </si>
  <si>
    <t>2025-03-19</t>
  </si>
  <si>
    <t>SA326</t>
  </si>
  <si>
    <t>SA327</t>
  </si>
  <si>
    <t>SA328</t>
  </si>
  <si>
    <t>2025-02-06</t>
  </si>
  <si>
    <t>SA329</t>
  </si>
  <si>
    <t>SA330</t>
  </si>
  <si>
    <t>2025-12-04</t>
  </si>
  <si>
    <t>SA331</t>
  </si>
  <si>
    <t>2026-05-28</t>
  </si>
  <si>
    <t>SA332</t>
  </si>
  <si>
    <t>SA333</t>
  </si>
  <si>
    <t>2026-03-18</t>
  </si>
  <si>
    <t>SA334</t>
  </si>
  <si>
    <t>2025-11-29</t>
  </si>
  <si>
    <t>SA335</t>
  </si>
  <si>
    <t>SA336</t>
  </si>
  <si>
    <t>SA337</t>
  </si>
  <si>
    <t>2026-04-13</t>
  </si>
  <si>
    <t>SA338</t>
  </si>
  <si>
    <t>SA339</t>
  </si>
  <si>
    <t>SA340</t>
  </si>
  <si>
    <t>2025-02-20</t>
  </si>
  <si>
    <t>SA341</t>
  </si>
  <si>
    <t>2026-06-15</t>
  </si>
  <si>
    <t>SA342</t>
  </si>
  <si>
    <t>SA343</t>
  </si>
  <si>
    <t>SA344</t>
  </si>
  <si>
    <t>2025-10-13</t>
  </si>
  <si>
    <t>SA345</t>
  </si>
  <si>
    <t>SA346</t>
  </si>
  <si>
    <t>SA347</t>
  </si>
  <si>
    <t>2025-05-16</t>
  </si>
  <si>
    <t>SA348</t>
  </si>
  <si>
    <t>SA349</t>
  </si>
  <si>
    <t>2025-12-09</t>
  </si>
  <si>
    <t>SA350</t>
  </si>
  <si>
    <t>SA351</t>
  </si>
  <si>
    <t>SA352</t>
  </si>
  <si>
    <t>2025-05-09</t>
  </si>
  <si>
    <t>SA353</t>
  </si>
  <si>
    <t>SA354</t>
  </si>
  <si>
    <t>2025-01-29</t>
  </si>
  <si>
    <t>SA355</t>
  </si>
  <si>
    <t>SA356</t>
  </si>
  <si>
    <t>SA357</t>
  </si>
  <si>
    <t>2026-02-17</t>
  </si>
  <si>
    <t>SA358</t>
  </si>
  <si>
    <t>SA359</t>
  </si>
  <si>
    <t>SA360</t>
  </si>
  <si>
    <t>SA361</t>
  </si>
  <si>
    <t>2025-07-22</t>
  </si>
  <si>
    <t>SA362</t>
  </si>
  <si>
    <t>2025-11-06</t>
  </si>
  <si>
    <t>SA363</t>
  </si>
  <si>
    <t>SA364</t>
  </si>
  <si>
    <t>SA365</t>
  </si>
  <si>
    <t>SA366</t>
  </si>
  <si>
    <t>2025-08-16</t>
  </si>
  <si>
    <t>SA367</t>
  </si>
  <si>
    <t>2025-11-24</t>
  </si>
  <si>
    <t>SA368</t>
  </si>
  <si>
    <t>SA369</t>
  </si>
  <si>
    <t>SA370</t>
  </si>
  <si>
    <t>2025-06-08</t>
  </si>
  <si>
    <t>SA371</t>
  </si>
  <si>
    <t>2025-04-04</t>
  </si>
  <si>
    <t>SA372</t>
  </si>
  <si>
    <t>SA373</t>
  </si>
  <si>
    <t>SA374</t>
  </si>
  <si>
    <t>2025-06-21</t>
  </si>
  <si>
    <t>SA375</t>
  </si>
  <si>
    <t>2025-08-21</t>
  </si>
  <si>
    <t>SA376</t>
  </si>
  <si>
    <t>SA377</t>
  </si>
  <si>
    <t>SA378</t>
  </si>
  <si>
    <t>SA379</t>
  </si>
  <si>
    <t>SA380</t>
  </si>
  <si>
    <t>2026-03-26</t>
  </si>
  <si>
    <t>SA381</t>
  </si>
  <si>
    <t>SA382</t>
  </si>
  <si>
    <t>SA383</t>
  </si>
  <si>
    <t>SA384</t>
  </si>
  <si>
    <t>SA385</t>
  </si>
  <si>
    <t>SA386</t>
  </si>
  <si>
    <t>SA387</t>
  </si>
  <si>
    <t>2026-02-11</t>
  </si>
  <si>
    <t>SA388</t>
  </si>
  <si>
    <t>SA389</t>
  </si>
  <si>
    <t>2025-03-21</t>
  </si>
  <si>
    <t>SA390</t>
  </si>
  <si>
    <t>SA391</t>
  </si>
  <si>
    <t>SA392</t>
  </si>
  <si>
    <t>SA393</t>
  </si>
  <si>
    <t>SA394</t>
  </si>
  <si>
    <t>SA395</t>
  </si>
  <si>
    <t>2026-02-13</t>
  </si>
  <si>
    <t>SA396</t>
  </si>
  <si>
    <t>2025-11-03</t>
  </si>
  <si>
    <t>SA397</t>
  </si>
  <si>
    <t>2025-09-07</t>
  </si>
  <si>
    <t>SA398</t>
  </si>
  <si>
    <t>SA399</t>
  </si>
  <si>
    <t>2026-02-06</t>
  </si>
  <si>
    <t>SA400</t>
  </si>
  <si>
    <t>SA401</t>
  </si>
  <si>
    <t>SA402</t>
  </si>
  <si>
    <t>2026-01-10</t>
  </si>
  <si>
    <t>SA403</t>
  </si>
  <si>
    <t>2025-12-14</t>
  </si>
  <si>
    <t>SA404</t>
  </si>
  <si>
    <t>2025-03-01</t>
  </si>
  <si>
    <t>SA405</t>
  </si>
  <si>
    <t>2026-04-08</t>
  </si>
  <si>
    <t>SA406</t>
  </si>
  <si>
    <t>SA407</t>
  </si>
  <si>
    <t>SA408</t>
  </si>
  <si>
    <t>SA409</t>
  </si>
  <si>
    <t>2025-08-20</t>
  </si>
  <si>
    <t>SA410</t>
  </si>
  <si>
    <t>2026-02-24</t>
  </si>
  <si>
    <t>SA411</t>
  </si>
  <si>
    <t>SA412</t>
  </si>
  <si>
    <t>SA413</t>
  </si>
  <si>
    <t>2025-06-27</t>
  </si>
  <si>
    <t>SA414</t>
  </si>
  <si>
    <t>SA415</t>
  </si>
  <si>
    <t>SA416</t>
  </si>
  <si>
    <t>2026-01-01</t>
  </si>
  <si>
    <t>SA417</t>
  </si>
  <si>
    <t>SA418</t>
  </si>
  <si>
    <t>SA419</t>
  </si>
  <si>
    <t>2026-03-31</t>
  </si>
  <si>
    <t>SA420</t>
  </si>
  <si>
    <t>SA421</t>
  </si>
  <si>
    <t>SA422</t>
  </si>
  <si>
    <t>SA423</t>
  </si>
  <si>
    <t>2025-09-04</t>
  </si>
  <si>
    <t>SA424</t>
  </si>
  <si>
    <t>SA425</t>
  </si>
  <si>
    <t>SA426</t>
  </si>
  <si>
    <t>2025-08-12</t>
  </si>
  <si>
    <t>SA427</t>
  </si>
  <si>
    <t>2025-12-20</t>
  </si>
  <si>
    <t>SA428</t>
  </si>
  <si>
    <t>2026-02-14</t>
  </si>
  <si>
    <t>SA429</t>
  </si>
  <si>
    <t>SA430</t>
  </si>
  <si>
    <t>SA431</t>
  </si>
  <si>
    <t>SA432</t>
  </si>
  <si>
    <t>SA433</t>
  </si>
  <si>
    <t>2025-12-27</t>
  </si>
  <si>
    <t>SA434</t>
  </si>
  <si>
    <t>SA435</t>
  </si>
  <si>
    <t>SA436</t>
  </si>
  <si>
    <t>2025-03-18</t>
  </si>
  <si>
    <t>SA437</t>
  </si>
  <si>
    <t>SA438</t>
  </si>
  <si>
    <t>SA439</t>
  </si>
  <si>
    <t>SA440</t>
  </si>
  <si>
    <t>SA441</t>
  </si>
  <si>
    <t>SA442</t>
  </si>
  <si>
    <t>SA443</t>
  </si>
  <si>
    <t>SA444</t>
  </si>
  <si>
    <t>SA445</t>
  </si>
  <si>
    <t>2025-10-10</t>
  </si>
  <si>
    <t>SA446</t>
  </si>
  <si>
    <t>SA447</t>
  </si>
  <si>
    <t>2025-11-27</t>
  </si>
  <si>
    <t>SA448</t>
  </si>
  <si>
    <t>2025-01-08</t>
  </si>
  <si>
    <t>SA449</t>
  </si>
  <si>
    <t>SA450</t>
  </si>
  <si>
    <t>SA451</t>
  </si>
  <si>
    <t>SA452</t>
  </si>
  <si>
    <t>SA453</t>
  </si>
  <si>
    <t>SA454</t>
  </si>
  <si>
    <t>SA455</t>
  </si>
  <si>
    <t>SA456</t>
  </si>
  <si>
    <t>2026-03-09</t>
  </si>
  <si>
    <t>SA457</t>
  </si>
  <si>
    <t>2026-02-02</t>
  </si>
  <si>
    <t>SA458</t>
  </si>
  <si>
    <t>2026-05-19</t>
  </si>
  <si>
    <t>SA459</t>
  </si>
  <si>
    <t>2026-04-09</t>
  </si>
  <si>
    <t>SA460</t>
  </si>
  <si>
    <t>SA461</t>
  </si>
  <si>
    <t>2025-01-22</t>
  </si>
  <si>
    <t>SA462</t>
  </si>
  <si>
    <t>2026-01-29</t>
  </si>
  <si>
    <t>SA463</t>
  </si>
  <si>
    <t>SA464</t>
  </si>
  <si>
    <t>SA465</t>
  </si>
  <si>
    <t>SA466</t>
  </si>
  <si>
    <t>SA467</t>
  </si>
  <si>
    <t>SA468</t>
  </si>
  <si>
    <t>SA469</t>
  </si>
  <si>
    <t>2025-10-01</t>
  </si>
  <si>
    <t>SA470</t>
  </si>
  <si>
    <t>2025-09-20</t>
  </si>
  <si>
    <t>SA471</t>
  </si>
  <si>
    <t>2026-04-18</t>
  </si>
  <si>
    <t>SA472</t>
  </si>
  <si>
    <t>2026-02-26</t>
  </si>
  <si>
    <t>SA473</t>
  </si>
  <si>
    <t>2026-05-13</t>
  </si>
  <si>
    <t>SA474</t>
  </si>
  <si>
    <t>2026-01-06</t>
  </si>
  <si>
    <t>SA475</t>
  </si>
  <si>
    <t>SA476</t>
  </si>
  <si>
    <t>SA477</t>
  </si>
  <si>
    <t>2026-05-09</t>
  </si>
  <si>
    <t>SA478</t>
  </si>
  <si>
    <t>SA479</t>
  </si>
  <si>
    <t>2025-12-18</t>
  </si>
  <si>
    <t>SA480</t>
  </si>
  <si>
    <t>SA481</t>
  </si>
  <si>
    <t>SA482</t>
  </si>
  <si>
    <t>SA483</t>
  </si>
  <si>
    <t>SA484</t>
  </si>
  <si>
    <t>SA485</t>
  </si>
  <si>
    <t>SA486</t>
  </si>
  <si>
    <t>2026-05-16</t>
  </si>
  <si>
    <t>SA487</t>
  </si>
  <si>
    <t>2026-03-22</t>
  </si>
  <si>
    <t>SA488</t>
  </si>
  <si>
    <t>SA489</t>
  </si>
  <si>
    <t>SA490</t>
  </si>
  <si>
    <t>SA491</t>
  </si>
  <si>
    <t>SA492</t>
  </si>
  <si>
    <t>2025-10-28</t>
  </si>
  <si>
    <t>SA493</t>
  </si>
  <si>
    <t>SA494</t>
  </si>
  <si>
    <t>SA495</t>
  </si>
  <si>
    <t>SA496</t>
  </si>
  <si>
    <t>SA497</t>
  </si>
  <si>
    <t>SA498</t>
  </si>
  <si>
    <t>2026-01-30</t>
  </si>
  <si>
    <t>SA499</t>
  </si>
  <si>
    <t>2025-02-19</t>
  </si>
  <si>
    <t>SA500</t>
  </si>
  <si>
    <t>product name</t>
  </si>
  <si>
    <t>store name</t>
  </si>
  <si>
    <t>customer name</t>
  </si>
  <si>
    <t>sales category</t>
  </si>
  <si>
    <t>average selling price</t>
  </si>
  <si>
    <t>Row Labels</t>
  </si>
  <si>
    <t>Grand Total</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</si>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</sst>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9">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6">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3" borderId="1" xfId="0" applyFill="1" applyBorder="1"/>
    <xf numFmtId="0" fontId="0" fillId="3" borderId="2" xfId="0" applyFill="1" applyBorder="1"/>
    <xf numFmtId="0" fontId="0" fillId="3"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theme="0"/>
        </top>
      </border>
    </dxf>
    <dxf>
      <border outline="0">
        <bottom style="thin">
          <color theme="0"/>
        </bottom>
      </border>
    </dxf>
    <dxf>
      <fill>
        <patternFill patternType="solid">
          <fgColor theme="4" tint="0.59999389629810485"/>
          <bgColor theme="4" tint="0.59999389629810485"/>
        </patternFill>
      </fill>
      <border diagonalUp="0" diagonalDown="0" outline="0">
        <left style="thin">
          <color theme="0"/>
        </left>
        <right style="thin">
          <color theme="0"/>
        </right>
        <top/>
        <bottom/>
      </border>
    </dxf>
    <dxf>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theme="0"/>
        </top>
      </border>
    </dxf>
    <dxf>
      <border outline="0">
        <bottom style="thin">
          <color theme="0"/>
        </bottom>
      </border>
    </dxf>
    <dxf>
      <fill>
        <patternFill patternType="solid">
          <fgColor theme="4" tint="0.59999389629810485"/>
          <bgColor theme="4" tint="0.59999389629810485"/>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6.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theme" Target="theme/theme1.xml"/><Relationship Id="rId37" Type="http://schemas.microsoft.com/office/2017/10/relationships/person" Target="persons/person.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5.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6.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dashboard.xlsx]Sheet7!PivotTable2</c:name>
    <c:fmtId val="7"/>
  </c:pivotSource>
  <c:chart>
    <c:title>
      <c:layout>
        <c:manualLayout>
          <c:xMode val="edge"/>
          <c:yMode val="edge"/>
          <c:x val="0.44631933508311461"/>
          <c:y val="0.1104257021348267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Sheet7!$B$4:$B$7</c:f>
              <c:strCache>
                <c:ptCount val="3"/>
                <c:pt idx="0">
                  <c:v>Accessories</c:v>
                </c:pt>
                <c:pt idx="1">
                  <c:v>Electronics</c:v>
                </c:pt>
                <c:pt idx="2">
                  <c:v>Home Appliances</c:v>
                </c:pt>
              </c:strCache>
            </c:strRef>
          </c:cat>
          <c:val>
            <c:numRef>
              <c:f>Sheet7!$C$4:$C$7</c:f>
              <c:numCache>
                <c:formatCode>General</c:formatCode>
                <c:ptCount val="3"/>
                <c:pt idx="0">
                  <c:v>21777374.030000001</c:v>
                </c:pt>
                <c:pt idx="1">
                  <c:v>32049941.82</c:v>
                </c:pt>
                <c:pt idx="2">
                  <c:v>40623256.700000003</c:v>
                </c:pt>
              </c:numCache>
            </c:numRef>
          </c:val>
          <c:extLst>
            <c:ext xmlns:c16="http://schemas.microsoft.com/office/drawing/2014/chart" uri="{C3380CC4-5D6E-409C-BE32-E72D297353CC}">
              <c16:uniqueId val="{00000000-65AA-4F59-87F1-50B0E55CC29D}"/>
            </c:ext>
          </c:extLst>
        </c:ser>
        <c:dLbls>
          <c:showLegendKey val="0"/>
          <c:showVal val="1"/>
          <c:showCatName val="0"/>
          <c:showSerName val="0"/>
          <c:showPercent val="0"/>
          <c:showBubbleSize val="0"/>
        </c:dLbls>
        <c:gapWidth val="65"/>
        <c:shape val="box"/>
        <c:axId val="1836848847"/>
        <c:axId val="1836849327"/>
        <c:axId val="0"/>
      </c:bar3DChart>
      <c:catAx>
        <c:axId val="18368488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6849327"/>
        <c:crosses val="autoZero"/>
        <c:auto val="1"/>
        <c:lblAlgn val="ctr"/>
        <c:lblOffset val="100"/>
        <c:noMultiLvlLbl val="0"/>
      </c:catAx>
      <c:valAx>
        <c:axId val="18368493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68488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dashboard.xlsx]Sheet8!PivotTable3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Sheet8!$A$2:$A$10</c:f>
              <c:strCache>
                <c:ptCount val="8"/>
                <c:pt idx="0">
                  <c:v>Bengaluru Store</c:v>
                </c:pt>
                <c:pt idx="1">
                  <c:v>Chennai Store</c:v>
                </c:pt>
                <c:pt idx="2">
                  <c:v>Guntur Store</c:v>
                </c:pt>
                <c:pt idx="3">
                  <c:v>Hyderabad Store</c:v>
                </c:pt>
                <c:pt idx="4">
                  <c:v>Pune Store</c:v>
                </c:pt>
                <c:pt idx="5">
                  <c:v>Vijayawada Store</c:v>
                </c:pt>
                <c:pt idx="6">
                  <c:v>Visakhapatnam Store</c:v>
                </c:pt>
                <c:pt idx="7">
                  <c:v>Warangal Store</c:v>
                </c:pt>
              </c:strCache>
            </c:strRef>
          </c:cat>
          <c:val>
            <c:numRef>
              <c:f>Sheet8!$B$2:$B$10</c:f>
              <c:numCache>
                <c:formatCode>General</c:formatCode>
                <c:ptCount val="8"/>
                <c:pt idx="0">
                  <c:v>12182071.710000001</c:v>
                </c:pt>
                <c:pt idx="1">
                  <c:v>15673144.560000001</c:v>
                </c:pt>
                <c:pt idx="2">
                  <c:v>6554559.2400000002</c:v>
                </c:pt>
                <c:pt idx="3">
                  <c:v>15773177.439999999</c:v>
                </c:pt>
                <c:pt idx="4">
                  <c:v>10801807.52</c:v>
                </c:pt>
                <c:pt idx="5">
                  <c:v>9485309.7100000009</c:v>
                </c:pt>
                <c:pt idx="6">
                  <c:v>15660954.300000001</c:v>
                </c:pt>
                <c:pt idx="7">
                  <c:v>8319548.0700000003</c:v>
                </c:pt>
              </c:numCache>
            </c:numRef>
          </c:val>
          <c:extLst>
            <c:ext xmlns:c16="http://schemas.microsoft.com/office/drawing/2014/chart" uri="{C3380CC4-5D6E-409C-BE32-E72D297353CC}">
              <c16:uniqueId val="{00000000-A400-4ACA-BE9D-3DC79D566BD4}"/>
            </c:ext>
          </c:extLst>
        </c:ser>
        <c:dLbls>
          <c:dLblPos val="outEnd"/>
          <c:showLegendKey val="0"/>
          <c:showVal val="1"/>
          <c:showCatName val="0"/>
          <c:showSerName val="0"/>
          <c:showPercent val="0"/>
          <c:showBubbleSize val="0"/>
        </c:dLbls>
        <c:gapWidth val="164"/>
        <c:overlap val="-22"/>
        <c:axId val="405394175"/>
        <c:axId val="405391775"/>
      </c:barChart>
      <c:catAx>
        <c:axId val="4053941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91775"/>
        <c:crosses val="autoZero"/>
        <c:auto val="1"/>
        <c:lblAlgn val="ctr"/>
        <c:lblOffset val="100"/>
        <c:noMultiLvlLbl val="0"/>
      </c:catAx>
      <c:valAx>
        <c:axId val="405391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9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dashboard.xlsx]Sheet9!PivotTable4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Sheet9!$B$1</c:f>
              <c:strCache>
                <c:ptCount val="1"/>
                <c:pt idx="0">
                  <c:v>Total</c:v>
                </c:pt>
              </c:strCache>
            </c:strRef>
          </c:tx>
          <c:spPr>
            <a:solidFill>
              <a:schemeClr val="accent1"/>
            </a:solidFill>
            <a:ln>
              <a:noFill/>
            </a:ln>
            <a:effectLst/>
          </c:spPr>
          <c:invertIfNegative val="0"/>
          <c:cat>
            <c:strRef>
              <c:f>Sheet9!$A$2:$A$32</c:f>
              <c:strCache>
                <c:ptCount val="30"/>
                <c:pt idx="0">
                  <c:v>Camera 10</c:v>
                </c:pt>
                <c:pt idx="1">
                  <c:v>Camera 14</c:v>
                </c:pt>
                <c:pt idx="2">
                  <c:v>Camera 6</c:v>
                </c:pt>
                <c:pt idx="3">
                  <c:v>Headphones 1</c:v>
                </c:pt>
                <c:pt idx="4">
                  <c:v>Headphones 2</c:v>
                </c:pt>
                <c:pt idx="5">
                  <c:v>Headphones 7</c:v>
                </c:pt>
                <c:pt idx="6">
                  <c:v>Headphones 9</c:v>
                </c:pt>
                <c:pt idx="7">
                  <c:v>Keyboard 20</c:v>
                </c:pt>
                <c:pt idx="8">
                  <c:v>Laptop 8</c:v>
                </c:pt>
                <c:pt idx="9">
                  <c:v>Microwave 18</c:v>
                </c:pt>
                <c:pt idx="10">
                  <c:v>Microwave 23</c:v>
                </c:pt>
                <c:pt idx="11">
                  <c:v>Mixer 17</c:v>
                </c:pt>
                <c:pt idx="12">
                  <c:v>Mixer 22</c:v>
                </c:pt>
                <c:pt idx="13">
                  <c:v>Mixer 27</c:v>
                </c:pt>
                <c:pt idx="14">
                  <c:v>Monitor 21</c:v>
                </c:pt>
                <c:pt idx="15">
                  <c:v>Monitor 30</c:v>
                </c:pt>
                <c:pt idx="16">
                  <c:v>Monitor 4</c:v>
                </c:pt>
                <c:pt idx="17">
                  <c:v>Mouse 12</c:v>
                </c:pt>
                <c:pt idx="18">
                  <c:v>Mouse 19</c:v>
                </c:pt>
                <c:pt idx="19">
                  <c:v>Power Bank 16</c:v>
                </c:pt>
                <c:pt idx="20">
                  <c:v>Printer 13</c:v>
                </c:pt>
                <c:pt idx="21">
                  <c:v>Printer 25</c:v>
                </c:pt>
                <c:pt idx="22">
                  <c:v>Printer 29</c:v>
                </c:pt>
                <c:pt idx="23">
                  <c:v>Router 26</c:v>
                </c:pt>
                <c:pt idx="24">
                  <c:v>Router 28</c:v>
                </c:pt>
                <c:pt idx="25">
                  <c:v>Smart Watch 3</c:v>
                </c:pt>
                <c:pt idx="26">
                  <c:v>Smartphone 11</c:v>
                </c:pt>
                <c:pt idx="27">
                  <c:v>Smartphone 5</c:v>
                </c:pt>
                <c:pt idx="28">
                  <c:v>Tablet 15</c:v>
                </c:pt>
                <c:pt idx="29">
                  <c:v>Tablet 24</c:v>
                </c:pt>
              </c:strCache>
            </c:strRef>
          </c:cat>
          <c:val>
            <c:numRef>
              <c:f>Sheet9!$B$2:$B$32</c:f>
              <c:numCache>
                <c:formatCode>General</c:formatCode>
                <c:ptCount val="30"/>
                <c:pt idx="0">
                  <c:v>3852151.54</c:v>
                </c:pt>
                <c:pt idx="1">
                  <c:v>4392433.43</c:v>
                </c:pt>
                <c:pt idx="2">
                  <c:v>3155264.34</c:v>
                </c:pt>
                <c:pt idx="3">
                  <c:v>4175454.92</c:v>
                </c:pt>
                <c:pt idx="4">
                  <c:v>3982464.75</c:v>
                </c:pt>
                <c:pt idx="5">
                  <c:v>2745147.65</c:v>
                </c:pt>
                <c:pt idx="6">
                  <c:v>1684421.1</c:v>
                </c:pt>
                <c:pt idx="7">
                  <c:v>2286674.02</c:v>
                </c:pt>
                <c:pt idx="8">
                  <c:v>3306859.47</c:v>
                </c:pt>
                <c:pt idx="9">
                  <c:v>3539603.32</c:v>
                </c:pt>
                <c:pt idx="10">
                  <c:v>2036717.78</c:v>
                </c:pt>
                <c:pt idx="11">
                  <c:v>3691080.49</c:v>
                </c:pt>
                <c:pt idx="12">
                  <c:v>2859741.22</c:v>
                </c:pt>
                <c:pt idx="13">
                  <c:v>3062049.76</c:v>
                </c:pt>
                <c:pt idx="14">
                  <c:v>3960381.04</c:v>
                </c:pt>
                <c:pt idx="15">
                  <c:v>2531366.34</c:v>
                </c:pt>
                <c:pt idx="16">
                  <c:v>1952871.49</c:v>
                </c:pt>
                <c:pt idx="17">
                  <c:v>3425796.22</c:v>
                </c:pt>
                <c:pt idx="18">
                  <c:v>1046916.88</c:v>
                </c:pt>
                <c:pt idx="19">
                  <c:v>3339667.02</c:v>
                </c:pt>
                <c:pt idx="20">
                  <c:v>2065068.44</c:v>
                </c:pt>
                <c:pt idx="21">
                  <c:v>3065406.81</c:v>
                </c:pt>
                <c:pt idx="22">
                  <c:v>2859523.2</c:v>
                </c:pt>
                <c:pt idx="23">
                  <c:v>4719082.4800000004</c:v>
                </c:pt>
                <c:pt idx="24">
                  <c:v>5411892.96</c:v>
                </c:pt>
                <c:pt idx="25">
                  <c:v>3492877.29</c:v>
                </c:pt>
                <c:pt idx="26">
                  <c:v>1955805.53</c:v>
                </c:pt>
                <c:pt idx="27">
                  <c:v>3960289.63</c:v>
                </c:pt>
                <c:pt idx="28">
                  <c:v>3505022.35</c:v>
                </c:pt>
                <c:pt idx="29">
                  <c:v>2388541.08</c:v>
                </c:pt>
              </c:numCache>
            </c:numRef>
          </c:val>
          <c:extLst>
            <c:ext xmlns:c16="http://schemas.microsoft.com/office/drawing/2014/chart" uri="{C3380CC4-5D6E-409C-BE32-E72D297353CC}">
              <c16:uniqueId val="{00000000-30E1-4245-AFE8-D8981B628421}"/>
            </c:ext>
          </c:extLst>
        </c:ser>
        <c:dLbls>
          <c:showLegendKey val="0"/>
          <c:showVal val="0"/>
          <c:showCatName val="0"/>
          <c:showSerName val="0"/>
          <c:showPercent val="0"/>
          <c:showBubbleSize val="0"/>
        </c:dLbls>
        <c:gapWidth val="182"/>
        <c:axId val="1891240271"/>
        <c:axId val="1891239791"/>
      </c:barChart>
      <c:catAx>
        <c:axId val="189124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39791"/>
        <c:crosses val="autoZero"/>
        <c:auto val="1"/>
        <c:lblAlgn val="ctr"/>
        <c:lblOffset val="100"/>
        <c:noMultiLvlLbl val="0"/>
      </c:catAx>
      <c:valAx>
        <c:axId val="189123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dashboard.xlsx]Sheet10!PivotTable5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Sheet10!$B$4:$B$16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Sheet10!$C$4:$C$16</c:f>
              <c:numCache>
                <c:formatCode>General</c:formatCode>
                <c:ptCount val="12"/>
                <c:pt idx="0">
                  <c:v>12500214.26</c:v>
                </c:pt>
                <c:pt idx="1">
                  <c:v>9092559.8699999992</c:v>
                </c:pt>
                <c:pt idx="2">
                  <c:v>13453946.66</c:v>
                </c:pt>
                <c:pt idx="3">
                  <c:v>8968084.1999999993</c:v>
                </c:pt>
                <c:pt idx="4">
                  <c:v>9331252.7400000002</c:v>
                </c:pt>
                <c:pt idx="5">
                  <c:v>8459965.9700000007</c:v>
                </c:pt>
                <c:pt idx="6">
                  <c:v>4954878.59</c:v>
                </c:pt>
                <c:pt idx="7">
                  <c:v>4742274.5999999996</c:v>
                </c:pt>
                <c:pt idx="8">
                  <c:v>6135044.1399999997</c:v>
                </c:pt>
                <c:pt idx="9">
                  <c:v>5892243.4299999997</c:v>
                </c:pt>
                <c:pt idx="10">
                  <c:v>5142711.2</c:v>
                </c:pt>
                <c:pt idx="11">
                  <c:v>5777396.8899999997</c:v>
                </c:pt>
              </c:numCache>
            </c:numRef>
          </c:val>
          <c:smooth val="0"/>
          <c:extLst>
            <c:ext xmlns:c16="http://schemas.microsoft.com/office/drawing/2014/chart" uri="{C3380CC4-5D6E-409C-BE32-E72D297353CC}">
              <c16:uniqueId val="{00000000-9B32-4751-B604-754097356AF3}"/>
            </c:ext>
          </c:extLst>
        </c:ser>
        <c:dLbls>
          <c:showLegendKey val="0"/>
          <c:showVal val="0"/>
          <c:showCatName val="0"/>
          <c:showSerName val="0"/>
          <c:showPercent val="0"/>
          <c:showBubbleSize val="0"/>
        </c:dLbls>
        <c:marker val="1"/>
        <c:smooth val="0"/>
        <c:axId val="787920975"/>
        <c:axId val="787921935"/>
      </c:lineChart>
      <c:catAx>
        <c:axId val="7879209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921935"/>
        <c:crosses val="autoZero"/>
        <c:auto val="1"/>
        <c:lblAlgn val="ctr"/>
        <c:lblOffset val="100"/>
        <c:noMultiLvlLbl val="0"/>
      </c:catAx>
      <c:valAx>
        <c:axId val="787921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92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dashboard.xlsx]Sheet11!PivotTable6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Sheet11!$C$3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Sheet11!$B$4:$B$6</c:f>
              <c:strCache>
                <c:ptCount val="2"/>
                <c:pt idx="0">
                  <c:v>Female</c:v>
                </c:pt>
                <c:pt idx="1">
                  <c:v>Male</c:v>
                </c:pt>
              </c:strCache>
            </c:strRef>
          </c:cat>
          <c:val>
            <c:numRef>
              <c:f>Sheet11!$C$4:$C$6</c:f>
              <c:numCache>
                <c:formatCode>General</c:formatCode>
                <c:ptCount val="2"/>
                <c:pt idx="0">
                  <c:v>52643902.07</c:v>
                </c:pt>
                <c:pt idx="1">
                  <c:v>41806670.479999997</c:v>
                </c:pt>
              </c:numCache>
            </c:numRef>
          </c:val>
          <c:extLst>
            <c:ext xmlns:c16="http://schemas.microsoft.com/office/drawing/2014/chart" uri="{C3380CC4-5D6E-409C-BE32-E72D297353CC}">
              <c16:uniqueId val="{00000000-63AE-456C-AB57-27596BE5D0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dashboard.xlsx]Sheet12!PivotTable7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stacked"/>
        <c:varyColors val="0"/>
        <c:ser>
          <c:idx val="0"/>
          <c:order val="0"/>
          <c:tx>
            <c:strRef>
              <c:f>Sheet12!$C$3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Sheet12!$B$4:$B$14</c:f>
              <c:strCache>
                <c:ptCount val="10"/>
                <c:pt idx="0">
                  <c:v>City Suppliers</c:v>
                </c:pt>
                <c:pt idx="1">
                  <c:v>Digital World</c:v>
                </c:pt>
                <c:pt idx="2">
                  <c:v>Elite Tech</c:v>
                </c:pt>
                <c:pt idx="3">
                  <c:v>Future Tech</c:v>
                </c:pt>
                <c:pt idx="4">
                  <c:v>Global Electronics</c:v>
                </c:pt>
                <c:pt idx="5">
                  <c:v>Mega Retail Supply</c:v>
                </c:pt>
                <c:pt idx="6">
                  <c:v>NextGen Devices</c:v>
                </c:pt>
                <c:pt idx="7">
                  <c:v>Prime Gadgets</c:v>
                </c:pt>
                <c:pt idx="8">
                  <c:v>Smart Electronics</c:v>
                </c:pt>
                <c:pt idx="9">
                  <c:v>Tech Distributors</c:v>
                </c:pt>
              </c:strCache>
            </c:strRef>
          </c:cat>
          <c:val>
            <c:numRef>
              <c:f>Sheet12!$C$4:$C$14</c:f>
              <c:numCache>
                <c:formatCode>General</c:formatCode>
                <c:ptCount val="10"/>
                <c:pt idx="0">
                  <c:v>7949970.3099999996</c:v>
                </c:pt>
                <c:pt idx="1">
                  <c:v>9102973.4499999993</c:v>
                </c:pt>
                <c:pt idx="2">
                  <c:v>6914201.2999999998</c:v>
                </c:pt>
                <c:pt idx="3">
                  <c:v>10203135.9</c:v>
                </c:pt>
                <c:pt idx="4">
                  <c:v>20554630.59</c:v>
                </c:pt>
                <c:pt idx="5">
                  <c:v>3539603.32</c:v>
                </c:pt>
                <c:pt idx="6">
                  <c:v>5289396.43</c:v>
                </c:pt>
                <c:pt idx="7">
                  <c:v>5859876.0199999996</c:v>
                </c:pt>
                <c:pt idx="8">
                  <c:v>11769281.01</c:v>
                </c:pt>
                <c:pt idx="9">
                  <c:v>13267504.220000001</c:v>
                </c:pt>
              </c:numCache>
            </c:numRef>
          </c:val>
          <c:extLst>
            <c:ext xmlns:c16="http://schemas.microsoft.com/office/drawing/2014/chart" uri="{C3380CC4-5D6E-409C-BE32-E72D297353CC}">
              <c16:uniqueId val="{00000000-7F25-4531-B7B4-4813B0DF7B5F}"/>
            </c:ext>
          </c:extLst>
        </c:ser>
        <c:dLbls>
          <c:dLblPos val="ctr"/>
          <c:showLegendKey val="0"/>
          <c:showVal val="1"/>
          <c:showCatName val="0"/>
          <c:showSerName val="0"/>
          <c:showPercent val="0"/>
          <c:showBubbleSize val="0"/>
        </c:dLbls>
        <c:gapWidth val="150"/>
        <c:overlap val="100"/>
        <c:axId val="599123839"/>
        <c:axId val="599124319"/>
      </c:barChart>
      <c:catAx>
        <c:axId val="599123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124319"/>
        <c:crosses val="autoZero"/>
        <c:auto val="1"/>
        <c:lblAlgn val="ctr"/>
        <c:lblOffset val="100"/>
        <c:noMultiLvlLbl val="0"/>
      </c:catAx>
      <c:valAx>
        <c:axId val="59912431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99123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dashboard.xlsx]Sheet7!PivotTable2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wise</a:t>
            </a:r>
            <a:endParaRPr lang="en-US"/>
          </a:p>
        </c:rich>
      </c:tx>
      <c:layout>
        <c:manualLayout>
          <c:xMode val="edge"/>
          <c:yMode val="edge"/>
          <c:x val="0.44631933508311461"/>
          <c:y val="0.1104257021348267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Sheet7!$B$4:$B$7</c:f>
              <c:strCache>
                <c:ptCount val="3"/>
                <c:pt idx="0">
                  <c:v>Accessories</c:v>
                </c:pt>
                <c:pt idx="1">
                  <c:v>Electronics</c:v>
                </c:pt>
                <c:pt idx="2">
                  <c:v>Home Appliances</c:v>
                </c:pt>
              </c:strCache>
            </c:strRef>
          </c:cat>
          <c:val>
            <c:numRef>
              <c:f>Sheet7!$C$4:$C$7</c:f>
              <c:numCache>
                <c:formatCode>General</c:formatCode>
                <c:ptCount val="3"/>
                <c:pt idx="0">
                  <c:v>21777374.030000001</c:v>
                </c:pt>
                <c:pt idx="1">
                  <c:v>32049941.82</c:v>
                </c:pt>
                <c:pt idx="2">
                  <c:v>40623256.700000003</c:v>
                </c:pt>
              </c:numCache>
            </c:numRef>
          </c:val>
          <c:extLst>
            <c:ext xmlns:c16="http://schemas.microsoft.com/office/drawing/2014/chart" uri="{C3380CC4-5D6E-409C-BE32-E72D297353CC}">
              <c16:uniqueId val="{00000000-EAE5-4589-8E27-0C9EAB9E53D2}"/>
            </c:ext>
          </c:extLst>
        </c:ser>
        <c:dLbls>
          <c:showLegendKey val="0"/>
          <c:showVal val="1"/>
          <c:showCatName val="0"/>
          <c:showSerName val="0"/>
          <c:showPercent val="0"/>
          <c:showBubbleSize val="0"/>
        </c:dLbls>
        <c:gapWidth val="65"/>
        <c:shape val="box"/>
        <c:axId val="1836848847"/>
        <c:axId val="1836849327"/>
        <c:axId val="0"/>
      </c:bar3DChart>
      <c:catAx>
        <c:axId val="18368488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6849327"/>
        <c:crosses val="autoZero"/>
        <c:auto val="1"/>
        <c:lblAlgn val="ctr"/>
        <c:lblOffset val="100"/>
        <c:noMultiLvlLbl val="0"/>
      </c:catAx>
      <c:valAx>
        <c:axId val="18368493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68488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dashboard.xlsx]Sheet8!PivotTable3</c:name>
    <c:fmtId val="5"/>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a:solidFill>
                  <a:schemeClr val="dk1"/>
                </a:solidFill>
                <a:latin typeface="+mn-lt"/>
                <a:ea typeface="+mn-ea"/>
                <a:cs typeface="+mn-cs"/>
              </a:rPr>
              <a:t>Store wise</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Sheet8!$A$2:$A$10</c:f>
              <c:strCache>
                <c:ptCount val="8"/>
                <c:pt idx="0">
                  <c:v>Bengaluru Store</c:v>
                </c:pt>
                <c:pt idx="1">
                  <c:v>Chennai Store</c:v>
                </c:pt>
                <c:pt idx="2">
                  <c:v>Guntur Store</c:v>
                </c:pt>
                <c:pt idx="3">
                  <c:v>Hyderabad Store</c:v>
                </c:pt>
                <c:pt idx="4">
                  <c:v>Pune Store</c:v>
                </c:pt>
                <c:pt idx="5">
                  <c:v>Vijayawada Store</c:v>
                </c:pt>
                <c:pt idx="6">
                  <c:v>Visakhapatnam Store</c:v>
                </c:pt>
                <c:pt idx="7">
                  <c:v>Warangal Store</c:v>
                </c:pt>
              </c:strCache>
            </c:strRef>
          </c:cat>
          <c:val>
            <c:numRef>
              <c:f>Sheet8!$B$2:$B$10</c:f>
              <c:numCache>
                <c:formatCode>General</c:formatCode>
                <c:ptCount val="8"/>
                <c:pt idx="0">
                  <c:v>12182071.710000001</c:v>
                </c:pt>
                <c:pt idx="1">
                  <c:v>15673144.560000001</c:v>
                </c:pt>
                <c:pt idx="2">
                  <c:v>6554559.2400000002</c:v>
                </c:pt>
                <c:pt idx="3">
                  <c:v>15773177.439999999</c:v>
                </c:pt>
                <c:pt idx="4">
                  <c:v>10801807.52</c:v>
                </c:pt>
                <c:pt idx="5">
                  <c:v>9485309.7100000009</c:v>
                </c:pt>
                <c:pt idx="6">
                  <c:v>15660954.300000001</c:v>
                </c:pt>
                <c:pt idx="7">
                  <c:v>8319548.0700000003</c:v>
                </c:pt>
              </c:numCache>
            </c:numRef>
          </c:val>
          <c:extLst>
            <c:ext xmlns:c16="http://schemas.microsoft.com/office/drawing/2014/chart" uri="{C3380CC4-5D6E-409C-BE32-E72D297353CC}">
              <c16:uniqueId val="{00000000-89AD-438C-8FB7-B1FAE7F71DE5}"/>
            </c:ext>
          </c:extLst>
        </c:ser>
        <c:dLbls>
          <c:dLblPos val="outEnd"/>
          <c:showLegendKey val="0"/>
          <c:showVal val="1"/>
          <c:showCatName val="0"/>
          <c:showSerName val="0"/>
          <c:showPercent val="0"/>
          <c:showBubbleSize val="0"/>
        </c:dLbls>
        <c:gapWidth val="199"/>
        <c:axId val="405394175"/>
        <c:axId val="405391775"/>
      </c:barChart>
      <c:catAx>
        <c:axId val="40539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5391775"/>
        <c:crosses val="autoZero"/>
        <c:auto val="1"/>
        <c:lblAlgn val="ctr"/>
        <c:lblOffset val="100"/>
        <c:noMultiLvlLbl val="0"/>
      </c:catAx>
      <c:valAx>
        <c:axId val="405391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9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9500">
          <a:srgbClr val="ABC0E4"/>
        </a:gs>
        <a:gs pos="76000">
          <a:srgbClr val="ABC0E4"/>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dashboard.xlsx]Sheet10!PivotTable5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a:t>
            </a:r>
            <a:r>
              <a:rPr lang="en-US" baseline="0"/>
              <a:t> wise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Sheet10!$B$4:$B$16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Sheet10!$C$4:$C$16</c:f>
              <c:numCache>
                <c:formatCode>General</c:formatCode>
                <c:ptCount val="12"/>
                <c:pt idx="0">
                  <c:v>12500214.26</c:v>
                </c:pt>
                <c:pt idx="1">
                  <c:v>9092559.8699999992</c:v>
                </c:pt>
                <c:pt idx="2">
                  <c:v>13453946.66</c:v>
                </c:pt>
                <c:pt idx="3">
                  <c:v>8968084.1999999993</c:v>
                </c:pt>
                <c:pt idx="4">
                  <c:v>9331252.7400000002</c:v>
                </c:pt>
                <c:pt idx="5">
                  <c:v>8459965.9700000007</c:v>
                </c:pt>
                <c:pt idx="6">
                  <c:v>4954878.59</c:v>
                </c:pt>
                <c:pt idx="7">
                  <c:v>4742274.5999999996</c:v>
                </c:pt>
                <c:pt idx="8">
                  <c:v>6135044.1399999997</c:v>
                </c:pt>
                <c:pt idx="9">
                  <c:v>5892243.4299999997</c:v>
                </c:pt>
                <c:pt idx="10">
                  <c:v>5142711.2</c:v>
                </c:pt>
                <c:pt idx="11">
                  <c:v>5777396.8899999997</c:v>
                </c:pt>
              </c:numCache>
            </c:numRef>
          </c:val>
          <c:smooth val="0"/>
          <c:extLst>
            <c:ext xmlns:c16="http://schemas.microsoft.com/office/drawing/2014/chart" uri="{C3380CC4-5D6E-409C-BE32-E72D297353CC}">
              <c16:uniqueId val="{00000000-5F62-43C0-AC09-6C8696DFFC34}"/>
            </c:ext>
          </c:extLst>
        </c:ser>
        <c:dLbls>
          <c:showLegendKey val="0"/>
          <c:showVal val="0"/>
          <c:showCatName val="0"/>
          <c:showSerName val="0"/>
          <c:showPercent val="0"/>
          <c:showBubbleSize val="0"/>
        </c:dLbls>
        <c:marker val="1"/>
        <c:smooth val="0"/>
        <c:axId val="787920975"/>
        <c:axId val="787921935"/>
      </c:lineChart>
      <c:catAx>
        <c:axId val="7879209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921935"/>
        <c:crosses val="autoZero"/>
        <c:auto val="1"/>
        <c:lblAlgn val="ctr"/>
        <c:lblOffset val="100"/>
        <c:noMultiLvlLbl val="0"/>
      </c:catAx>
      <c:valAx>
        <c:axId val="787921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92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dashboard.xlsx]Sheet11!PivotTable6</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a:t>
            </a:r>
            <a:r>
              <a:rPr lang="en-US" baseline="0"/>
              <a:t> wise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28969816272966"/>
          <c:y val="0.26158646835812188"/>
          <c:w val="0.35240048118985129"/>
          <c:h val="0.58733413531641876"/>
        </c:manualLayout>
      </c:layout>
      <c:doughnutChart>
        <c:varyColors val="1"/>
        <c:ser>
          <c:idx val="0"/>
          <c:order val="0"/>
          <c:tx>
            <c:strRef>
              <c:f>Sheet11!$C$3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Sheet11!$B$4:$B$6</c:f>
              <c:strCache>
                <c:ptCount val="2"/>
                <c:pt idx="0">
                  <c:v>Female</c:v>
                </c:pt>
                <c:pt idx="1">
                  <c:v>Male</c:v>
                </c:pt>
              </c:strCache>
            </c:strRef>
          </c:cat>
          <c:val>
            <c:numRef>
              <c:f>Sheet11!$C$4:$C$6</c:f>
              <c:numCache>
                <c:formatCode>General</c:formatCode>
                <c:ptCount val="2"/>
                <c:pt idx="0">
                  <c:v>52643902.07</c:v>
                </c:pt>
                <c:pt idx="1">
                  <c:v>41806670.479999997</c:v>
                </c:pt>
              </c:numCache>
            </c:numRef>
          </c:val>
          <c:extLst>
            <c:ext xmlns:c16="http://schemas.microsoft.com/office/drawing/2014/chart" uri="{C3380CC4-5D6E-409C-BE32-E72D297353CC}">
              <c16:uniqueId val="{00000000-2B83-4741-9096-D6C0721A2A5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6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dashboard.xlsx]Sheet12!PivotTable7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Suppliers</a:t>
            </a:r>
            <a:r>
              <a:rPr lang="en-US" baseline="0"/>
              <a:t> wise</a:t>
            </a:r>
            <a:endParaRPr lang="en-US"/>
          </a:p>
        </c:rich>
      </c:tx>
      <c:layout>
        <c:manualLayout>
          <c:xMode val="edge"/>
          <c:yMode val="edge"/>
          <c:x val="0.41669642857142863"/>
          <c:y val="8.380418795687233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alpha val="85000"/>
            </a:schemeClr>
          </a:solidFill>
          <a:ln w="9525" cap="flat" cmpd="sng" algn="ctr">
            <a:solidFill>
              <a:schemeClr val="lt1">
                <a:alpha val="50000"/>
              </a:schemeClr>
            </a:solidFill>
            <a:round/>
          </a:ln>
          <a:effectLst/>
        </c:spP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Sheet12!$C$3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AB84-4863-9DE7-4BA427A45D4F}"/>
              </c:ext>
            </c:extLst>
          </c:dPt>
          <c:dPt>
            <c:idx val="1"/>
            <c:invertIfNegative val="0"/>
            <c:bubble3D val="0"/>
            <c:extLst>
              <c:ext xmlns:c16="http://schemas.microsoft.com/office/drawing/2014/chart" uri="{C3380CC4-5D6E-409C-BE32-E72D297353CC}">
                <c16:uniqueId val="{00000001-AB84-4863-9DE7-4BA427A45D4F}"/>
              </c:ext>
            </c:extLst>
          </c:dPt>
          <c:dPt>
            <c:idx val="2"/>
            <c:invertIfNegative val="0"/>
            <c:bubble3D val="0"/>
            <c:extLst>
              <c:ext xmlns:c16="http://schemas.microsoft.com/office/drawing/2014/chart" uri="{C3380CC4-5D6E-409C-BE32-E72D297353CC}">
                <c16:uniqueId val="{00000002-AB84-4863-9DE7-4BA427A45D4F}"/>
              </c:ext>
            </c:extLst>
          </c:dPt>
          <c:dPt>
            <c:idx val="3"/>
            <c:invertIfNegative val="0"/>
            <c:bubble3D val="0"/>
            <c:extLst>
              <c:ext xmlns:c16="http://schemas.microsoft.com/office/drawing/2014/chart" uri="{C3380CC4-5D6E-409C-BE32-E72D297353CC}">
                <c16:uniqueId val="{00000003-AB84-4863-9DE7-4BA427A45D4F}"/>
              </c:ext>
            </c:extLst>
          </c:dPt>
          <c:dPt>
            <c:idx val="4"/>
            <c:invertIfNegative val="0"/>
            <c:bubble3D val="0"/>
            <c:extLst>
              <c:ext xmlns:c16="http://schemas.microsoft.com/office/drawing/2014/chart" uri="{C3380CC4-5D6E-409C-BE32-E72D297353CC}">
                <c16:uniqueId val="{00000004-AB84-4863-9DE7-4BA427A45D4F}"/>
              </c:ext>
            </c:extLst>
          </c:dPt>
          <c:dPt>
            <c:idx val="5"/>
            <c:invertIfNegative val="0"/>
            <c:bubble3D val="0"/>
            <c:extLst>
              <c:ext xmlns:c16="http://schemas.microsoft.com/office/drawing/2014/chart" uri="{C3380CC4-5D6E-409C-BE32-E72D297353CC}">
                <c16:uniqueId val="{00000005-AB84-4863-9DE7-4BA427A45D4F}"/>
              </c:ext>
            </c:extLst>
          </c:dPt>
          <c:dPt>
            <c:idx val="6"/>
            <c:invertIfNegative val="0"/>
            <c:bubble3D val="0"/>
            <c:extLst>
              <c:ext xmlns:c16="http://schemas.microsoft.com/office/drawing/2014/chart" uri="{C3380CC4-5D6E-409C-BE32-E72D297353CC}">
                <c16:uniqueId val="{00000006-AB84-4863-9DE7-4BA427A45D4F}"/>
              </c:ext>
            </c:extLst>
          </c:dPt>
          <c:dPt>
            <c:idx val="7"/>
            <c:invertIfNegative val="0"/>
            <c:bubble3D val="0"/>
            <c:extLst>
              <c:ext xmlns:c16="http://schemas.microsoft.com/office/drawing/2014/chart" uri="{C3380CC4-5D6E-409C-BE32-E72D297353CC}">
                <c16:uniqueId val="{00000007-AB84-4863-9DE7-4BA427A45D4F}"/>
              </c:ext>
            </c:extLst>
          </c:dPt>
          <c:dPt>
            <c:idx val="8"/>
            <c:invertIfNegative val="0"/>
            <c:bubble3D val="0"/>
            <c:extLst>
              <c:ext xmlns:c16="http://schemas.microsoft.com/office/drawing/2014/chart" uri="{C3380CC4-5D6E-409C-BE32-E72D297353CC}">
                <c16:uniqueId val="{00000008-AB84-4863-9DE7-4BA427A45D4F}"/>
              </c:ext>
            </c:extLst>
          </c:dPt>
          <c:dPt>
            <c:idx val="9"/>
            <c:invertIfNegative val="0"/>
            <c:bubble3D val="0"/>
            <c:extLst>
              <c:ext xmlns:c16="http://schemas.microsoft.com/office/drawing/2014/chart" uri="{C3380CC4-5D6E-409C-BE32-E72D297353CC}">
                <c16:uniqueId val="{00000009-AB84-4863-9DE7-4BA427A45D4F}"/>
              </c:ext>
            </c:extLst>
          </c:dPt>
          <c:dLbls>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AB84-4863-9DE7-4BA427A45D4F}"/>
                </c:ext>
              </c:extLst>
            </c:dLbl>
            <c:dLbl>
              <c:idx val="1"/>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AB84-4863-9DE7-4BA427A45D4F}"/>
                </c:ext>
              </c:extLst>
            </c:dLbl>
            <c:dLbl>
              <c:idx val="2"/>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AB84-4863-9DE7-4BA427A45D4F}"/>
                </c:ext>
              </c:extLst>
            </c:dLbl>
            <c:dLbl>
              <c:idx val="3"/>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AB84-4863-9DE7-4BA427A45D4F}"/>
                </c:ext>
              </c:extLst>
            </c:dLbl>
            <c:dLbl>
              <c:idx val="4"/>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4-AB84-4863-9DE7-4BA427A45D4F}"/>
                </c:ext>
              </c:extLst>
            </c:dLbl>
            <c:dLbl>
              <c:idx val="5"/>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5-AB84-4863-9DE7-4BA427A45D4F}"/>
                </c:ext>
              </c:extLst>
            </c:dLbl>
            <c:dLbl>
              <c:idx val="6"/>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AB84-4863-9DE7-4BA427A45D4F}"/>
                </c:ext>
              </c:extLst>
            </c:dLbl>
            <c:dLbl>
              <c:idx val="7"/>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7-AB84-4863-9DE7-4BA427A45D4F}"/>
                </c:ext>
              </c:extLst>
            </c:dLbl>
            <c:dLbl>
              <c:idx val="8"/>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8-AB84-4863-9DE7-4BA427A45D4F}"/>
                </c:ext>
              </c:extLst>
            </c:dLbl>
            <c:dLbl>
              <c:idx val="9"/>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9-AB84-4863-9DE7-4BA427A45D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Sheet12!$B$4:$B$14</c:f>
              <c:strCache>
                <c:ptCount val="10"/>
                <c:pt idx="0">
                  <c:v>City Suppliers</c:v>
                </c:pt>
                <c:pt idx="1">
                  <c:v>Digital World</c:v>
                </c:pt>
                <c:pt idx="2">
                  <c:v>Elite Tech</c:v>
                </c:pt>
                <c:pt idx="3">
                  <c:v>Future Tech</c:v>
                </c:pt>
                <c:pt idx="4">
                  <c:v>Global Electronics</c:v>
                </c:pt>
                <c:pt idx="5">
                  <c:v>Mega Retail Supply</c:v>
                </c:pt>
                <c:pt idx="6">
                  <c:v>NextGen Devices</c:v>
                </c:pt>
                <c:pt idx="7">
                  <c:v>Prime Gadgets</c:v>
                </c:pt>
                <c:pt idx="8">
                  <c:v>Smart Electronics</c:v>
                </c:pt>
                <c:pt idx="9">
                  <c:v>Tech Distributors</c:v>
                </c:pt>
              </c:strCache>
            </c:strRef>
          </c:cat>
          <c:val>
            <c:numRef>
              <c:f>Sheet12!$C$4:$C$14</c:f>
              <c:numCache>
                <c:formatCode>General</c:formatCode>
                <c:ptCount val="10"/>
                <c:pt idx="0">
                  <c:v>7949970.3099999996</c:v>
                </c:pt>
                <c:pt idx="1">
                  <c:v>9102973.4499999993</c:v>
                </c:pt>
                <c:pt idx="2">
                  <c:v>6914201.2999999998</c:v>
                </c:pt>
                <c:pt idx="3">
                  <c:v>10203135.9</c:v>
                </c:pt>
                <c:pt idx="4">
                  <c:v>20554630.59</c:v>
                </c:pt>
                <c:pt idx="5">
                  <c:v>3539603.32</c:v>
                </c:pt>
                <c:pt idx="6">
                  <c:v>5289396.43</c:v>
                </c:pt>
                <c:pt idx="7">
                  <c:v>5859876.0199999996</c:v>
                </c:pt>
                <c:pt idx="8">
                  <c:v>11769281.01</c:v>
                </c:pt>
                <c:pt idx="9">
                  <c:v>13267504.220000001</c:v>
                </c:pt>
              </c:numCache>
            </c:numRef>
          </c:val>
          <c:extLst>
            <c:ext xmlns:c16="http://schemas.microsoft.com/office/drawing/2014/chart" uri="{C3380CC4-5D6E-409C-BE32-E72D297353CC}">
              <c16:uniqueId val="{0000000A-AB84-4863-9DE7-4BA427A45D4F}"/>
            </c:ext>
          </c:extLst>
        </c:ser>
        <c:dLbls>
          <c:dLblPos val="ctr"/>
          <c:showLegendKey val="0"/>
          <c:showVal val="1"/>
          <c:showCatName val="0"/>
          <c:showSerName val="0"/>
          <c:showPercent val="0"/>
          <c:showBubbleSize val="0"/>
        </c:dLbls>
        <c:gapWidth val="150"/>
        <c:overlap val="100"/>
        <c:axId val="599123839"/>
        <c:axId val="599124319"/>
      </c:barChart>
      <c:catAx>
        <c:axId val="599123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124319"/>
        <c:crosses val="autoZero"/>
        <c:auto val="1"/>
        <c:lblAlgn val="ctr"/>
        <c:lblOffset val="100"/>
        <c:noMultiLvlLbl val="0"/>
      </c:catAx>
      <c:valAx>
        <c:axId val="59912431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99123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dashboard.xlsx]Sheet9!PivotTable4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Product</a:t>
            </a:r>
            <a:r>
              <a:rPr lang="en-IN" baseline="0">
                <a:solidFill>
                  <a:schemeClr val="dk1"/>
                </a:solidFill>
                <a:latin typeface="+mn-lt"/>
                <a:ea typeface="+mn-ea"/>
                <a:cs typeface="+mn-cs"/>
              </a:rPr>
              <a:t> wise</a:t>
            </a:r>
            <a:endParaRPr lang="en-IN"/>
          </a:p>
        </c:rich>
      </c:tx>
      <c:overlay val="0"/>
      <c:spPr>
        <a:solidFill>
          <a:schemeClr val="bg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Sheet9!$B$1</c:f>
              <c:strCache>
                <c:ptCount val="1"/>
                <c:pt idx="0">
                  <c:v>Total</c:v>
                </c:pt>
              </c:strCache>
            </c:strRef>
          </c:tx>
          <c:spPr>
            <a:solidFill>
              <a:schemeClr val="accent1"/>
            </a:solidFill>
            <a:ln>
              <a:noFill/>
            </a:ln>
            <a:effectLst/>
          </c:spPr>
          <c:invertIfNegative val="0"/>
          <c:cat>
            <c:strRef>
              <c:f>Sheet9!$A$2:$A$32</c:f>
              <c:strCache>
                <c:ptCount val="30"/>
                <c:pt idx="0">
                  <c:v>Camera 10</c:v>
                </c:pt>
                <c:pt idx="1">
                  <c:v>Camera 14</c:v>
                </c:pt>
                <c:pt idx="2">
                  <c:v>Camera 6</c:v>
                </c:pt>
                <c:pt idx="3">
                  <c:v>Headphones 1</c:v>
                </c:pt>
                <c:pt idx="4">
                  <c:v>Headphones 2</c:v>
                </c:pt>
                <c:pt idx="5">
                  <c:v>Headphones 7</c:v>
                </c:pt>
                <c:pt idx="6">
                  <c:v>Headphones 9</c:v>
                </c:pt>
                <c:pt idx="7">
                  <c:v>Keyboard 20</c:v>
                </c:pt>
                <c:pt idx="8">
                  <c:v>Laptop 8</c:v>
                </c:pt>
                <c:pt idx="9">
                  <c:v>Microwave 18</c:v>
                </c:pt>
                <c:pt idx="10">
                  <c:v>Microwave 23</c:v>
                </c:pt>
                <c:pt idx="11">
                  <c:v>Mixer 17</c:v>
                </c:pt>
                <c:pt idx="12">
                  <c:v>Mixer 22</c:v>
                </c:pt>
                <c:pt idx="13">
                  <c:v>Mixer 27</c:v>
                </c:pt>
                <c:pt idx="14">
                  <c:v>Monitor 21</c:v>
                </c:pt>
                <c:pt idx="15">
                  <c:v>Monitor 30</c:v>
                </c:pt>
                <c:pt idx="16">
                  <c:v>Monitor 4</c:v>
                </c:pt>
                <c:pt idx="17">
                  <c:v>Mouse 12</c:v>
                </c:pt>
                <c:pt idx="18">
                  <c:v>Mouse 19</c:v>
                </c:pt>
                <c:pt idx="19">
                  <c:v>Power Bank 16</c:v>
                </c:pt>
                <c:pt idx="20">
                  <c:v>Printer 13</c:v>
                </c:pt>
                <c:pt idx="21">
                  <c:v>Printer 25</c:v>
                </c:pt>
                <c:pt idx="22">
                  <c:v>Printer 29</c:v>
                </c:pt>
                <c:pt idx="23">
                  <c:v>Router 26</c:v>
                </c:pt>
                <c:pt idx="24">
                  <c:v>Router 28</c:v>
                </c:pt>
                <c:pt idx="25">
                  <c:v>Smart Watch 3</c:v>
                </c:pt>
                <c:pt idx="26">
                  <c:v>Smartphone 11</c:v>
                </c:pt>
                <c:pt idx="27">
                  <c:v>Smartphone 5</c:v>
                </c:pt>
                <c:pt idx="28">
                  <c:v>Tablet 15</c:v>
                </c:pt>
                <c:pt idx="29">
                  <c:v>Tablet 24</c:v>
                </c:pt>
              </c:strCache>
            </c:strRef>
          </c:cat>
          <c:val>
            <c:numRef>
              <c:f>Sheet9!$B$2:$B$32</c:f>
              <c:numCache>
                <c:formatCode>General</c:formatCode>
                <c:ptCount val="30"/>
                <c:pt idx="0">
                  <c:v>3852151.54</c:v>
                </c:pt>
                <c:pt idx="1">
                  <c:v>4392433.43</c:v>
                </c:pt>
                <c:pt idx="2">
                  <c:v>3155264.34</c:v>
                </c:pt>
                <c:pt idx="3">
                  <c:v>4175454.92</c:v>
                </c:pt>
                <c:pt idx="4">
                  <c:v>3982464.75</c:v>
                </c:pt>
                <c:pt idx="5">
                  <c:v>2745147.65</c:v>
                </c:pt>
                <c:pt idx="6">
                  <c:v>1684421.1</c:v>
                </c:pt>
                <c:pt idx="7">
                  <c:v>2286674.02</c:v>
                </c:pt>
                <c:pt idx="8">
                  <c:v>3306859.47</c:v>
                </c:pt>
                <c:pt idx="9">
                  <c:v>3539603.32</c:v>
                </c:pt>
                <c:pt idx="10">
                  <c:v>2036717.78</c:v>
                </c:pt>
                <c:pt idx="11">
                  <c:v>3691080.49</c:v>
                </c:pt>
                <c:pt idx="12">
                  <c:v>2859741.22</c:v>
                </c:pt>
                <c:pt idx="13">
                  <c:v>3062049.76</c:v>
                </c:pt>
                <c:pt idx="14">
                  <c:v>3960381.04</c:v>
                </c:pt>
                <c:pt idx="15">
                  <c:v>2531366.34</c:v>
                </c:pt>
                <c:pt idx="16">
                  <c:v>1952871.49</c:v>
                </c:pt>
                <c:pt idx="17">
                  <c:v>3425796.22</c:v>
                </c:pt>
                <c:pt idx="18">
                  <c:v>1046916.88</c:v>
                </c:pt>
                <c:pt idx="19">
                  <c:v>3339667.02</c:v>
                </c:pt>
                <c:pt idx="20">
                  <c:v>2065068.44</c:v>
                </c:pt>
                <c:pt idx="21">
                  <c:v>3065406.81</c:v>
                </c:pt>
                <c:pt idx="22">
                  <c:v>2859523.2</c:v>
                </c:pt>
                <c:pt idx="23">
                  <c:v>4719082.4800000004</c:v>
                </c:pt>
                <c:pt idx="24">
                  <c:v>5411892.96</c:v>
                </c:pt>
                <c:pt idx="25">
                  <c:v>3492877.29</c:v>
                </c:pt>
                <c:pt idx="26">
                  <c:v>1955805.53</c:v>
                </c:pt>
                <c:pt idx="27">
                  <c:v>3960289.63</c:v>
                </c:pt>
                <c:pt idx="28">
                  <c:v>3505022.35</c:v>
                </c:pt>
                <c:pt idx="29">
                  <c:v>2388541.08</c:v>
                </c:pt>
              </c:numCache>
            </c:numRef>
          </c:val>
          <c:extLst>
            <c:ext xmlns:c16="http://schemas.microsoft.com/office/drawing/2014/chart" uri="{C3380CC4-5D6E-409C-BE32-E72D297353CC}">
              <c16:uniqueId val="{00000000-BB5B-40EB-A499-8655A375EC1E}"/>
            </c:ext>
          </c:extLst>
        </c:ser>
        <c:dLbls>
          <c:showLegendKey val="0"/>
          <c:showVal val="0"/>
          <c:showCatName val="0"/>
          <c:showSerName val="0"/>
          <c:showPercent val="0"/>
          <c:showBubbleSize val="0"/>
        </c:dLbls>
        <c:gapWidth val="182"/>
        <c:axId val="1891240271"/>
        <c:axId val="1891239791"/>
      </c:barChart>
      <c:catAx>
        <c:axId val="189124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39791"/>
        <c:crosses val="autoZero"/>
        <c:auto val="1"/>
        <c:lblAlgn val="ctr"/>
        <c:lblOffset val="100"/>
        <c:noMultiLvlLbl val="0"/>
      </c:catAx>
      <c:valAx>
        <c:axId val="189123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365760</xdr:colOff>
      <xdr:row>6</xdr:row>
      <xdr:rowOff>99060</xdr:rowOff>
    </xdr:from>
    <xdr:to>
      <xdr:col>10</xdr:col>
      <xdr:colOff>365760</xdr:colOff>
      <xdr:row>20</xdr:row>
      <xdr:rowOff>5715</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CDE19BCB-61FA-B0E0-1727-4A14FFCA03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632960" y="1196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xdr:colOff>
      <xdr:row>3</xdr:row>
      <xdr:rowOff>22860</xdr:rowOff>
    </xdr:from>
    <xdr:to>
      <xdr:col>12</xdr:col>
      <xdr:colOff>419100</xdr:colOff>
      <xdr:row>18</xdr:row>
      <xdr:rowOff>129540</xdr:rowOff>
    </xdr:to>
    <xdr:graphicFrame macro="">
      <xdr:nvGraphicFramePr>
        <xdr:cNvPr id="3" name="Chart 2">
          <a:extLst>
            <a:ext uri="{FF2B5EF4-FFF2-40B4-BE49-F238E27FC236}">
              <a16:creationId xmlns:a16="http://schemas.microsoft.com/office/drawing/2014/main" id="{54AB796C-2714-DFE3-B7F9-F75FEEA35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510540</xdr:colOff>
      <xdr:row>4</xdr:row>
      <xdr:rowOff>22860</xdr:rowOff>
    </xdr:from>
    <xdr:to>
      <xdr:col>10</xdr:col>
      <xdr:colOff>571500</xdr:colOff>
      <xdr:row>20</xdr:row>
      <xdr:rowOff>129540</xdr:rowOff>
    </xdr:to>
    <xdr:graphicFrame macro="">
      <xdr:nvGraphicFramePr>
        <xdr:cNvPr id="2" name="Chart 1">
          <a:extLst>
            <a:ext uri="{FF2B5EF4-FFF2-40B4-BE49-F238E27FC236}">
              <a16:creationId xmlns:a16="http://schemas.microsoft.com/office/drawing/2014/main" id="{D3450A9C-261D-AE91-71A2-0814B5DDB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8</xdr:row>
      <xdr:rowOff>0</xdr:rowOff>
    </xdr:from>
    <xdr:to>
      <xdr:col>13</xdr:col>
      <xdr:colOff>7620</xdr:colOff>
      <xdr:row>30</xdr:row>
      <xdr:rowOff>30480</xdr:rowOff>
    </xdr:to>
    <xdr:graphicFrame macro="">
      <xdr:nvGraphicFramePr>
        <xdr:cNvPr id="2" name="Chart 1">
          <a:extLst>
            <a:ext uri="{FF2B5EF4-FFF2-40B4-BE49-F238E27FC236}">
              <a16:creationId xmlns:a16="http://schemas.microsoft.com/office/drawing/2014/main" id="{864A130C-F9B5-5A6D-3550-D208487AA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5</xdr:row>
      <xdr:rowOff>129540</xdr:rowOff>
    </xdr:from>
    <xdr:to>
      <xdr:col>11</xdr:col>
      <xdr:colOff>0</xdr:colOff>
      <xdr:row>20</xdr:row>
      <xdr:rowOff>129540</xdr:rowOff>
    </xdr:to>
    <xdr:graphicFrame macro="">
      <xdr:nvGraphicFramePr>
        <xdr:cNvPr id="2" name="Chart 1">
          <a:extLst>
            <a:ext uri="{FF2B5EF4-FFF2-40B4-BE49-F238E27FC236}">
              <a16:creationId xmlns:a16="http://schemas.microsoft.com/office/drawing/2014/main" id="{7E9B2D9B-86BE-4485-5E7B-65F09BD9C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304800</xdr:colOff>
      <xdr:row>5</xdr:row>
      <xdr:rowOff>129540</xdr:rowOff>
    </xdr:from>
    <xdr:to>
      <xdr:col>11</xdr:col>
      <xdr:colOff>0</xdr:colOff>
      <xdr:row>20</xdr:row>
      <xdr:rowOff>129540</xdr:rowOff>
    </xdr:to>
    <xdr:graphicFrame macro="">
      <xdr:nvGraphicFramePr>
        <xdr:cNvPr id="2" name="Chart 1">
          <a:extLst>
            <a:ext uri="{FF2B5EF4-FFF2-40B4-BE49-F238E27FC236}">
              <a16:creationId xmlns:a16="http://schemas.microsoft.com/office/drawing/2014/main" id="{EC6DEF01-E576-C53B-792B-B19D7BE24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381000</xdr:colOff>
      <xdr:row>0</xdr:row>
      <xdr:rowOff>106680</xdr:rowOff>
    </xdr:from>
    <xdr:to>
      <xdr:col>8</xdr:col>
      <xdr:colOff>381000</xdr:colOff>
      <xdr:row>14</xdr:row>
      <xdr:rowOff>13335</xdr:rowOff>
    </xdr:to>
    <mc:AlternateContent xmlns:mc="http://schemas.openxmlformats.org/markup-compatibility/2006" xmlns:a14="http://schemas.microsoft.com/office/drawing/2010/main">
      <mc:Choice Requires="a14">
        <xdr:graphicFrame macro="">
          <xdr:nvGraphicFramePr>
            <xdr:cNvPr id="2" name="Supplier_Name">
              <a:extLst>
                <a:ext uri="{FF2B5EF4-FFF2-40B4-BE49-F238E27FC236}">
                  <a16:creationId xmlns:a16="http://schemas.microsoft.com/office/drawing/2014/main" id="{3FABE177-07C6-7485-3CFF-EEED694DF18E}"/>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342900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434340</xdr:colOff>
      <xdr:row>16</xdr:row>
      <xdr:rowOff>175260</xdr:rowOff>
    </xdr:from>
    <xdr:to>
      <xdr:col>8</xdr:col>
      <xdr:colOff>434340</xdr:colOff>
      <xdr:row>30</xdr:row>
      <xdr:rowOff>81915</xdr:rowOff>
    </xdr:to>
    <mc:AlternateContent xmlns:mc="http://schemas.openxmlformats.org/markup-compatibility/2006" xmlns:a14="http://schemas.microsoft.com/office/drawing/2010/main">
      <mc:Choice Requires="a14">
        <xdr:graphicFrame macro="">
          <xdr:nvGraphicFramePr>
            <xdr:cNvPr id="3" name="Product_Name">
              <a:extLst>
                <a:ext uri="{FF2B5EF4-FFF2-40B4-BE49-F238E27FC236}">
                  <a16:creationId xmlns:a16="http://schemas.microsoft.com/office/drawing/2014/main" id="{581ECD75-CBA9-1759-9348-1BABB3EA19F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482340" y="3101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5</xdr:row>
      <xdr:rowOff>68580</xdr:rowOff>
    </xdr:from>
    <xdr:to>
      <xdr:col>12</xdr:col>
      <xdr:colOff>320040</xdr:colOff>
      <xdr:row>18</xdr:row>
      <xdr:rowOff>158115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83A2F8A-E33F-B798-579B-1C84D4C0ED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0644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6</xdr:row>
      <xdr:rowOff>7620</xdr:rowOff>
    </xdr:from>
    <xdr:to>
      <xdr:col>19</xdr:col>
      <xdr:colOff>30480</xdr:colOff>
      <xdr:row>19</xdr:row>
      <xdr:rowOff>97155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6E54121-3A40-9DA1-5886-878D99A051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8408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5</xdr:row>
      <xdr:rowOff>45720</xdr:rowOff>
    </xdr:from>
    <xdr:to>
      <xdr:col>15</xdr:col>
      <xdr:colOff>411480</xdr:colOff>
      <xdr:row>18</xdr:row>
      <xdr:rowOff>135255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DC225C41-F425-C08F-43E0-E0F7B82483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2668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38100</xdr:colOff>
      <xdr:row>5</xdr:row>
      <xdr:rowOff>129540</xdr:rowOff>
    </xdr:from>
    <xdr:to>
      <xdr:col>11</xdr:col>
      <xdr:colOff>358140</xdr:colOff>
      <xdr:row>24</xdr:row>
      <xdr:rowOff>99060</xdr:rowOff>
    </xdr:to>
    <xdr:graphicFrame macro="">
      <xdr:nvGraphicFramePr>
        <xdr:cNvPr id="2" name="Chart 1">
          <a:extLst>
            <a:ext uri="{FF2B5EF4-FFF2-40B4-BE49-F238E27FC236}">
              <a16:creationId xmlns:a16="http://schemas.microsoft.com/office/drawing/2014/main" id="{194761D4-BEC0-5092-37F8-8D8ADF7FE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17</xdr:col>
      <xdr:colOff>567071</xdr:colOff>
      <xdr:row>12</xdr:row>
      <xdr:rowOff>130628</xdr:rowOff>
    </xdr:from>
    <xdr:to>
      <xdr:col>26</xdr:col>
      <xdr:colOff>518240</xdr:colOff>
      <xdr:row>30</xdr:row>
      <xdr:rowOff>148348</xdr:rowOff>
    </xdr:to>
    <xdr:graphicFrame macro="">
      <xdr:nvGraphicFramePr>
        <xdr:cNvPr id="3" name="Chart 2">
          <a:extLst>
            <a:ext uri="{FF2B5EF4-FFF2-40B4-BE49-F238E27FC236}">
              <a16:creationId xmlns:a16="http://schemas.microsoft.com/office/drawing/2014/main" id="{3EA53389-314E-4E1C-8B0E-9F8321DB9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312603</xdr:colOff>
      <xdr:row>12</xdr:row>
      <xdr:rowOff>98225</xdr:rowOff>
    </xdr:from>
    <xdr:to>
      <xdr:col>17</xdr:col>
      <xdr:colOff>509856</xdr:colOff>
      <xdr:row>30</xdr:row>
      <xdr:rowOff>80502</xdr:rowOff>
    </xdr:to>
    <xdr:graphicFrame macro="">
      <xdr:nvGraphicFramePr>
        <xdr:cNvPr id="4" name="Chart 3">
          <a:extLst>
            <a:ext uri="{FF2B5EF4-FFF2-40B4-BE49-F238E27FC236}">
              <a16:creationId xmlns:a16="http://schemas.microsoft.com/office/drawing/2014/main" id="{E01E1297-9A07-4DD6-BABA-E61527A85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231890</xdr:colOff>
      <xdr:row>31</xdr:row>
      <xdr:rowOff>61264</xdr:rowOff>
    </xdr:from>
    <xdr:to>
      <xdr:col>26</xdr:col>
      <xdr:colOff>409100</xdr:colOff>
      <xdr:row>52</xdr:row>
      <xdr:rowOff>159713</xdr:rowOff>
    </xdr:to>
    <xdr:graphicFrame macro="">
      <xdr:nvGraphicFramePr>
        <xdr:cNvPr id="6" name="Chart 5">
          <a:extLst>
            <a:ext uri="{FF2B5EF4-FFF2-40B4-BE49-F238E27FC236}">
              <a16:creationId xmlns:a16="http://schemas.microsoft.com/office/drawing/2014/main" id="{F20A9B44-0C2B-4ADF-8DDE-EC6D39638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68353</xdr:colOff>
      <xdr:row>53</xdr:row>
      <xdr:rowOff>50010</xdr:rowOff>
    </xdr:from>
    <xdr:to>
      <xdr:col>26</xdr:col>
      <xdr:colOff>316446</xdr:colOff>
      <xdr:row>74</xdr:row>
      <xdr:rowOff>99921</xdr:rowOff>
    </xdr:to>
    <xdr:graphicFrame macro="">
      <xdr:nvGraphicFramePr>
        <xdr:cNvPr id="14" name="Chart 13">
          <a:extLst>
            <a:ext uri="{FF2B5EF4-FFF2-40B4-BE49-F238E27FC236}">
              <a16:creationId xmlns:a16="http://schemas.microsoft.com/office/drawing/2014/main" id="{CF8A7366-CC7F-4601-9559-7B13D34C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12095</xdr:colOff>
      <xdr:row>53</xdr:row>
      <xdr:rowOff>72473</xdr:rowOff>
    </xdr:from>
    <xdr:to>
      <xdr:col>17</xdr:col>
      <xdr:colOff>577196</xdr:colOff>
      <xdr:row>74</xdr:row>
      <xdr:rowOff>89960</xdr:rowOff>
    </xdr:to>
    <xdr:graphicFrame macro="">
      <xdr:nvGraphicFramePr>
        <xdr:cNvPr id="15" name="Chart 14">
          <a:extLst>
            <a:ext uri="{FF2B5EF4-FFF2-40B4-BE49-F238E27FC236}">
              <a16:creationId xmlns:a16="http://schemas.microsoft.com/office/drawing/2014/main" id="{E1B32AD4-C625-4567-BA6B-7357E770D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121199</xdr:colOff>
      <xdr:row>30</xdr:row>
      <xdr:rowOff>163538</xdr:rowOff>
    </xdr:from>
    <xdr:to>
      <xdr:col>18</xdr:col>
      <xdr:colOff>200500</xdr:colOff>
      <xdr:row>52</xdr:row>
      <xdr:rowOff>153970</xdr:rowOff>
    </xdr:to>
    <xdr:graphicFrame macro="">
      <xdr:nvGraphicFramePr>
        <xdr:cNvPr id="2" name="Chart 1">
          <a:extLst>
            <a:ext uri="{FF2B5EF4-FFF2-40B4-BE49-F238E27FC236}">
              <a16:creationId xmlns:a16="http://schemas.microsoft.com/office/drawing/2014/main" id="{AAF0B42F-6090-41C8-B50D-F075690B4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217714</xdr:colOff>
      <xdr:row>4</xdr:row>
      <xdr:rowOff>108857</xdr:rowOff>
    </xdr:from>
    <xdr:to>
      <xdr:col>25</xdr:col>
      <xdr:colOff>326572</xdr:colOff>
      <xdr:row>10</xdr:row>
      <xdr:rowOff>87086</xdr:rowOff>
    </xdr:to>
    <xdr:sp macro="" textlink="">
      <xdr:nvSpPr>
        <xdr:cNvPr id="7" name="TextBox 6">
          <a:extLst>
            <a:ext uri="{FF2B5EF4-FFF2-40B4-BE49-F238E27FC236}">
              <a16:creationId xmlns:a16="http://schemas.microsoft.com/office/drawing/2014/main" id="{325C0E0C-B4E4-891F-9DE7-3242A6283AAF}"/>
            </a:ext>
          </a:extLst>
        </xdr:cNvPr>
        <xdr:cNvSpPr txBox="1"/>
      </xdr:nvSpPr>
      <xdr:spPr>
        <a:xfrm>
          <a:off x="3265714" y="805543"/>
          <a:ext cx="12300858" cy="102325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a:p>
        <a:p>
          <a:pPr algn="ctr"/>
          <a:endParaRPr lang="en-IN"/>
        </a:p>
        <a:p>
          <a:pPr algn="ctr"/>
          <a:r>
            <a:rPr lang="en-IN" sz="3200" b="1">
              <a:solidFill>
                <a:sysClr val="windowText" lastClr="000000"/>
              </a:solidFill>
            </a:rPr>
            <a:t>RETAIL STORE SALES DASHBOARD</a:t>
          </a:r>
        </a:p>
      </xdr:txBody>
    </xdr:sp>
    <xdr:clientData/>
  </xdr:twoCellAnchor>
  <xdr:twoCellAnchor editAs="oneCell">
    <xdr:from>
      <xdr:col>3</xdr:col>
      <xdr:colOff>470171</xdr:colOff>
      <xdr:row>13</xdr:row>
      <xdr:rowOff>-1</xdr:rowOff>
    </xdr:from>
    <xdr:to>
      <xdr:col>8</xdr:col>
      <xdr:colOff>84220</xdr:colOff>
      <xdr:row>31</xdr:row>
      <xdr:rowOff>113489</xdr:rowOff>
    </xdr:to>
    <mc:AlternateContent xmlns:mc="http://schemas.openxmlformats.org/markup-compatibility/2006" xmlns:a14="http://schemas.microsoft.com/office/drawing/2010/main">
      <mc:Choice Requires="a14">
        <xdr:graphicFrame macro="">
          <xdr:nvGraphicFramePr>
            <xdr:cNvPr id="5" name="Supplier_Name 1">
              <a:extLst>
                <a:ext uri="{FF2B5EF4-FFF2-40B4-BE49-F238E27FC236}">
                  <a16:creationId xmlns:a16="http://schemas.microsoft.com/office/drawing/2014/main" id="{DA4F04EA-5086-4D23-8F35-862B4727C11D}"/>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2318426" y="2318425"/>
              <a:ext cx="2694475" cy="3323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453959</xdr:colOff>
      <xdr:row>54</xdr:row>
      <xdr:rowOff>153596</xdr:rowOff>
    </xdr:from>
    <xdr:to>
      <xdr:col>7</xdr:col>
      <xdr:colOff>508740</xdr:colOff>
      <xdr:row>74</xdr:row>
      <xdr:rowOff>145916</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E35824C0-AB6C-487C-8090-6EE8F0B2897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02214" y="9783979"/>
              <a:ext cx="2519122" cy="3559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453959</xdr:colOff>
      <xdr:row>33</xdr:row>
      <xdr:rowOff>81065</xdr:rowOff>
    </xdr:from>
    <xdr:to>
      <xdr:col>7</xdr:col>
      <xdr:colOff>545432</xdr:colOff>
      <xdr:row>54</xdr:row>
      <xdr:rowOff>32426</xdr:rowOff>
    </xdr:to>
    <mc:AlternateContent xmlns:mc="http://schemas.openxmlformats.org/markup-compatibility/2006" xmlns:a14="http://schemas.microsoft.com/office/drawing/2010/main">
      <mc:Choice Requires="a14">
        <xdr:graphicFrame macro="">
          <xdr:nvGraphicFramePr>
            <xdr:cNvPr id="17" name="Product_Name 1">
              <a:extLst>
                <a:ext uri="{FF2B5EF4-FFF2-40B4-BE49-F238E27FC236}">
                  <a16:creationId xmlns:a16="http://schemas.microsoft.com/office/drawing/2014/main" id="{5C4F8D52-18C9-4E82-9CDB-7F40107CBA2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2302214" y="5966299"/>
              <a:ext cx="2555814" cy="3696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1205902776" createdVersion="5" refreshedVersion="8" minRefreshableVersion="3" recordCount="0" supportSubquery="1" supportAdvancedDrill="1" xr:uid="{A42C672D-E06E-47C1-A4B5-7EC66AFE6FCF}">
  <cacheSource type="external" connectionId="1"/>
  <cacheFields count="3">
    <cacheField name="[Table1].[Supplier_Name].[Supplier_Name]" caption="Supplier_Name" numFmtId="0" hierarchy="1" level="1">
      <sharedItems count="10">
        <s v="City Suppliers"/>
        <s v="Digital World"/>
        <s v="Elite Tech"/>
        <s v="Future Tech"/>
        <s v="Global Electronics"/>
        <s v="Mega Retail Supply"/>
        <s v="NextGen Devices"/>
        <s v="Prime Gadgets"/>
        <s v="Smart Electronics"/>
        <s v="Tech Distributors"/>
      </sharedItems>
    </cacheField>
    <cacheField name="[Measures].[Sum of Total_Amount]" caption="Sum of Total_Amount" numFmtId="0" hierarchy="38" level="32767"/>
    <cacheField name="[Table3].[Product_Name].[Product_Name]" caption="Product_Name" numFmtId="0" hierarchy="9"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2"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Contact_No]" caption="Contact_No" attribute="1" defaultMemberUniqueName="[Table1].[Contact_No].[All]" allUniqueName="[Table1].[Contact_No].[All]" dimensionUniqueName="[Table1]" displayFolder="" count="2" memberValueDatatype="130" unbalanced="0"/>
    <cacheHierarchy uniqueName="[Table2].[Store_ID]" caption="Store_ID" attribute="1" defaultMemberUniqueName="[Table2].[Store_ID].[All]" allUniqueName="[Table2].[Store_ID].[All]" dimensionUniqueName="[Table2]" displayFolder="" count="2"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fieldsUsage count="2">
        <fieldUsage x="-1"/>
        <fieldUsage x="2"/>
      </fieldsUsage>
    </cacheHierarchy>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2" memberValueDatatype="5" unbalanced="0"/>
    <cacheHierarchy uniqueName="[Table3].[Supplier_ID]" caption="Supplier_ID" attribute="1" defaultMemberUniqueName="[Table3].[Supplier_ID].[All]" allUniqueName="[Table3].[Supplier_ID].[All]" dimensionUniqueName="[Table3]" displayFolder="" count="2" memberValueDatatype="130" unbalanced="0"/>
    <cacheHierarchy uniqueName="[Table4].[Customer_ID]" caption="Customer_ID" attribute="1" defaultMemberUniqueName="[Table4].[Customer_ID].[All]" allUniqueName="[Table4].[Customer_ID].[All]" dimensionUniqueName="[Table4]" displayFolder="" count="2" memberValueDatatype="20" unbalanced="0"/>
    <cacheHierarchy uniqueName="[Table4].[Customer_Name]" caption="Customer_Name" attribute="1" defaultMemberUniqueName="[Table4].[Customer_Name].[All]" allUniqueName="[Table4].[Customer_Name].[All]" dimensionUniqueName="[Table4]" displayFolder="" count="2"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2" memberValueDatatype="20" unbalanced="0"/>
    <cacheHierarchy uniqueName="[Table4].[City]" caption="City" attribute="1" defaultMemberUniqueName="[Table4].[City].[All]" allUniqueName="[Table4].[City].[All]" dimensionUniqueName="[Table4]"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Join_Date]" caption="Join_Date" attribute="1" defaultMemberUniqueName="[Table4].[Join_Date].[All]" allUniqueName="[Table4].[Join_Date].[All]" dimensionUniqueName="[Table4]" displayFolder="" count="2" memberValueDatatype="130" unbalanced="0"/>
    <cacheHierarchy uniqueName="[Table5].[Sale_ID]" caption="Sale_ID" attribute="1" defaultMemberUniqueName="[Table5].[Sale_ID].[All]" allUniqueName="[Table5].[Sale_ID].[All]" dimensionUniqueName="[Table5]" displayFolder="" count="2" memberValueDatatype="130" unbalanced="0"/>
    <cacheHierarchy uniqueName="[Table5].[Customer_ID]" caption="Customer_ID" attribute="1" defaultMemberUniqueName="[Table5].[Customer_ID].[All]" allUniqueName="[Table5].[Customer_ID].[All]" dimensionUniqueName="[Table5]" displayFolder="" count="2" memberValueDatatype="20" unbalanced="0"/>
    <cacheHierarchy uniqueName="[Table5].[Product_ID]" caption="Product_ID" attribute="1" defaultMemberUniqueName="[Table5].[Product_ID].[All]" allUniqueName="[Table5].[Product_ID].[All]" dimensionUniqueName="[Table5]" displayFolder="" count="2" memberValueDatatype="130" unbalanced="0"/>
    <cacheHierarchy uniqueName="[Table5].[Store_ID]" caption="Store_ID" attribute="1" defaultMemberUniqueName="[Table5].[Store_ID].[All]" allUniqueName="[Table5].[Store_ID].[All]" dimensionUniqueName="[Table5]" displayFolder="" count="2" memberValueDatatype="130" unbalanced="0"/>
    <cacheHierarchy uniqueName="[Table5].[Sale_Date]" caption="Sale_Date" attribute="1" defaultMemberUniqueName="[Table5].[Sale_Date].[All]" allUniqueName="[Table5].[Sale_Date].[All]" dimensionUniqueName="[Table5]" displayFolder="" count="2" memberValueDatatype="130" unbalanced="0"/>
    <cacheHierarchy uniqueName="[Table5].[Quantity]" caption="Quantity" attribute="1" defaultMemberUniqueName="[Table5].[Quantity].[All]" allUniqueName="[Table5].[Quantity].[All]" dimensionUniqueName="[Table5]" displayFolder="" count="2" memberValueDatatype="20" unbalanced="0"/>
    <cacheHierarchy uniqueName="[Table5].[Total_Amount]" caption="Total_Amount" attribute="1" defaultMemberUniqueName="[Table5].[Total_Amount].[All]" allUniqueName="[Table5].[Total_Amount].[All]" dimensionUniqueName="[Table5]" displayFolder="" count="2"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2"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anu" refreshedDate="46212.842363888885" createdVersion="8" refreshedVersion="8" minRefreshableVersion="3" recordCount="200" xr:uid="{B33666AA-60F4-43FE-A076-FC0EE5F1BC2E}">
  <cacheSource type="worksheet">
    <worksheetSource name="customers"/>
  </cacheSource>
  <cacheFields count="7">
    <cacheField name="Customer_ID" numFmtId="0">
      <sharedItems containsSemiMixedTypes="0" containsString="0" containsNumber="1" containsInteger="1" minValue="1001" maxValue="1200"/>
    </cacheField>
    <cacheField name="Customer_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City" numFmtId="0">
      <sharedItems/>
    </cacheField>
    <cacheField name="Store_ID" numFmtId="0">
      <sharedItems/>
    </cacheField>
    <cacheField name="Join_Date" numFmtId="0">
      <sharedItems/>
    </cacheField>
  </cacheFields>
  <extLst>
    <ext xmlns:x14="http://schemas.microsoft.com/office/spreadsheetml/2009/9/main" uri="{725AE2AE-9491-48be-B2B4-4EB974FC3084}">
      <x14:pivotCacheDefinition pivotCacheId="8998874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5462961" createdVersion="5" refreshedVersion="8" minRefreshableVersion="3" recordCount="0" supportSubquery="1" supportAdvancedDrill="1" xr:uid="{A718EDAF-2F9E-442F-BA38-FCCD59686878}">
  <cacheSource type="external" connectionId="1"/>
  <cacheFields count="2">
    <cacheField name="[Table5].[Total_Amount].[Total_Amount]" caption="Total_Amount" numFmtId="0" hierarchy="26" level="1">
      <sharedItems containsSemiMixedTypes="0" containsNonDate="0" containsString="0"/>
    </cacheField>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2"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Contact_No]" caption="Contact_No" attribute="1" defaultMemberUniqueName="[Table1].[Contact_No].[All]" allUniqueName="[Table1].[Contact_No].[All]" dimensionUniqueName="[Table1]" displayFolder="" count="2" memberValueDatatype="130" unbalanced="0"/>
    <cacheHierarchy uniqueName="[Table2].[Store_ID]" caption="Store_ID" attribute="1" defaultMemberUniqueName="[Table2].[Store_ID].[All]" allUniqueName="[Table2].[Store_ID].[All]" dimensionUniqueName="[Table2]" displayFolder="" count="2"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2" memberValueDatatype="5" unbalanced="0"/>
    <cacheHierarchy uniqueName="[Table3].[Supplier_ID]" caption="Supplier_ID" attribute="1" defaultMemberUniqueName="[Table3].[Supplier_ID].[All]" allUniqueName="[Table3].[Supplier_ID].[All]" dimensionUniqueName="[Table3]" displayFolder="" count="2" memberValueDatatype="130" unbalanced="0"/>
    <cacheHierarchy uniqueName="[Table4].[Customer_ID]" caption="Customer_ID" attribute="1" defaultMemberUniqueName="[Table4].[Customer_ID].[All]" allUniqueName="[Table4].[Customer_ID].[All]" dimensionUniqueName="[Table4]" displayFolder="" count="2" memberValueDatatype="20" unbalanced="0"/>
    <cacheHierarchy uniqueName="[Table4].[Customer_Name]" caption="Customer_Name" attribute="1" defaultMemberUniqueName="[Table4].[Customer_Name].[All]" allUniqueName="[Table4].[Customer_Name].[All]" dimensionUniqueName="[Table4]" displayFolder="" count="2"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2" memberValueDatatype="20" unbalanced="0"/>
    <cacheHierarchy uniqueName="[Table4].[City]" caption="City" attribute="1" defaultMemberUniqueName="[Table4].[City].[All]" allUniqueName="[Table4].[City].[All]" dimensionUniqueName="[Table4]"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Join_Date]" caption="Join_Date" attribute="1" defaultMemberUniqueName="[Table4].[Join_Date].[All]" allUniqueName="[Table4].[Join_Date].[All]" dimensionUniqueName="[Table4]" displayFolder="" count="2" memberValueDatatype="130" unbalanced="0"/>
    <cacheHierarchy uniqueName="[Table5].[Sale_ID]" caption="Sale_ID" attribute="1" defaultMemberUniqueName="[Table5].[Sale_ID].[All]" allUniqueName="[Table5].[Sale_ID].[All]" dimensionUniqueName="[Table5]" displayFolder="" count="2" memberValueDatatype="130" unbalanced="0"/>
    <cacheHierarchy uniqueName="[Table5].[Customer_ID]" caption="Customer_ID" attribute="1" defaultMemberUniqueName="[Table5].[Customer_ID].[All]" allUniqueName="[Table5].[Customer_ID].[All]" dimensionUniqueName="[Table5]" displayFolder="" count="2" memberValueDatatype="20" unbalanced="0"/>
    <cacheHierarchy uniqueName="[Table5].[Product_ID]" caption="Product_ID" attribute="1" defaultMemberUniqueName="[Table5].[Product_ID].[All]" allUniqueName="[Table5].[Product_ID].[All]" dimensionUniqueName="[Table5]" displayFolder="" count="2" memberValueDatatype="130" unbalanced="0"/>
    <cacheHierarchy uniqueName="[Table5].[Store_ID]" caption="Store_ID" attribute="1" defaultMemberUniqueName="[Table5].[Store_ID].[All]" allUniqueName="[Table5].[Store_ID].[All]" dimensionUniqueName="[Table5]" displayFolder="" count="2" memberValueDatatype="130" unbalanced="0"/>
    <cacheHierarchy uniqueName="[Table5].[Sale_Date]" caption="Sale_Date" attribute="1" defaultMemberUniqueName="[Table5].[Sale_Date].[All]" allUniqueName="[Table5].[Sale_Date].[All]" dimensionUniqueName="[Table5]" displayFolder="" count="2" memberValueDatatype="130" unbalanced="0"/>
    <cacheHierarchy uniqueName="[Table5].[Quantity]" caption="Quantity" attribute="1" defaultMemberUniqueName="[Table5].[Quantity].[All]" allUniqueName="[Table5].[Quantity].[All]" dimensionUniqueName="[Table5]" displayFolder="" count="2" memberValueDatatype="20" unbalanced="0"/>
    <cacheHierarchy uniqueName="[Table5].[Total_Amount]" caption="Total_Amount" attribute="1" defaultMemberUniqueName="[Table5].[Total_Amount].[All]" allUniqueName="[Table5].[Total_Amount].[All]" dimensionUniqueName="[Table5]" displayFolder="" count="2" memberValueDatatype="5" unbalanced="0">
      <fieldsUsage count="2">
        <fieldUsage x="-1"/>
        <fieldUsage x="0"/>
      </fieldsUsage>
    </cacheHierarchy>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2"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hidden="1">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6736108" createdVersion="5" refreshedVersion="8" minRefreshableVersion="3" recordCount="0" supportSubquery="1" supportAdvancedDrill="1" xr:uid="{74718BB9-A875-46FC-B512-9260C75B8738}">
  <cacheSource type="external" connectionId="1"/>
  <cacheFields count="3">
    <cacheField name="[Table5].[Month].[Month]" caption="Month" numFmtId="0" hierarchy="27" level="1">
      <sharedItems count="12">
        <s v="April"/>
        <s v="August"/>
        <s v="December"/>
        <s v="February"/>
        <s v="January"/>
        <s v="July"/>
        <s v="June"/>
        <s v="March"/>
        <s v="May"/>
        <s v="November"/>
        <s v="October"/>
        <s v="September"/>
      </sharedItems>
    </cacheField>
    <cacheField name="[Measures].[Sum of Total_Amount]" caption="Sum of Total_Amount" numFmtId="0" hierarchy="38" level="32767"/>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2" memberValueDatatype="130" unbalanced="0">
      <fieldsUsage count="2">
        <fieldUsage x="-1"/>
        <fieldUsage x="0"/>
      </fieldsUsage>
    </cacheHierarchy>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7546293" createdVersion="5" refreshedVersion="8" minRefreshableVersion="3" recordCount="0" supportSubquery="1" supportAdvancedDrill="1" xr:uid="{D2F9F029-1971-4124-8820-D8831FA5C4F4}">
  <cacheSource type="external" connectionId="1"/>
  <cacheFields count="3">
    <cacheField name="[Table4].[Gender].[Gender]" caption="Gender" numFmtId="0" hierarchy="15" level="1">
      <sharedItems count="2">
        <s v="Female"/>
        <s v="Male"/>
      </sharedItems>
    </cacheField>
    <cacheField name="[Measures].[Sum of Total_Amount]" caption="Sum of Total_Amount" numFmtId="0" hierarchy="38" level="32767"/>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fieldsUsage count="2">
        <fieldUsage x="-1"/>
        <fieldUsage x="0"/>
      </fieldsUsage>
    </cacheHierarchy>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824074" createdVersion="5" refreshedVersion="8" minRefreshableVersion="3" recordCount="0" supportSubquery="1" supportAdvancedDrill="1" xr:uid="{12AB4EB4-66A0-4558-9309-A35456CCF0B2}">
  <cacheSource type="external" connectionId="1"/>
  <cacheFields count="3">
    <cacheField name="[Table3].[Category].[Category]" caption="Category" numFmtId="0" hierarchy="10" level="1">
      <sharedItems count="3">
        <s v="Accessories"/>
        <s v="Electronics"/>
        <s v="Home Appliances"/>
      </sharedItems>
    </cacheField>
    <cacheField name="[Measures].[Sum of Total_Amount]" caption="Sum of Total_Amount" numFmtId="0" hierarchy="38" level="32767"/>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fieldsUsage count="2">
        <fieldUsage x="-1"/>
        <fieldUsage x="0"/>
      </fieldsUsage>
    </cacheHierarchy>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8935186" createdVersion="5" refreshedVersion="8" minRefreshableVersion="3" recordCount="0" supportSubquery="1" supportAdvancedDrill="1" xr:uid="{6BE9F22E-195E-4787-9C82-FB292B23242E}">
  <cacheSource type="external" connectionId="1"/>
  <cacheFields count="3">
    <cacheField name="[Table2].[Store_Name].[Store_Name]" caption="Store_Name" numFmtId="0" hierarchy="5" level="1">
      <sharedItems count="8">
        <s v="Bengaluru Store"/>
        <s v="Chennai Store"/>
        <s v="Guntur Store"/>
        <s v="Hyderabad Store"/>
        <s v="Pune Store"/>
        <s v="Vijayawada Store"/>
        <s v="Visakhapatnam Store"/>
        <s v="Warangal Store"/>
      </sharedItems>
    </cacheField>
    <cacheField name="[Measures].[Sum of Total_Amount]" caption="Sum of Total_Amount" numFmtId="0" hierarchy="38" level="32767"/>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3579976849" createdVersion="5" refreshedVersion="8" minRefreshableVersion="3" recordCount="0" supportSubquery="1" supportAdvancedDrill="1" xr:uid="{174B71F5-A527-4E2B-80A8-8E0A5A58DB93}">
  <cacheSource type="external" connectionId="1"/>
  <cacheFields count="3">
    <cacheField name="[Table3].[Product_Name].[Product_Name]" caption="Product_Name" numFmtId="0" hierarchy="9" level="1">
      <sharedItems count="30">
        <s v="Camera 10"/>
        <s v="Camera 14"/>
        <s v="Camera 6"/>
        <s v="Headphones 1"/>
        <s v="Headphones 2"/>
        <s v="Headphones 7"/>
        <s v="Headphones 9"/>
        <s v="Keyboard 20"/>
        <s v="Laptop 8"/>
        <s v="Microwave 18"/>
        <s v="Microwave 23"/>
        <s v="Mixer 17"/>
        <s v="Mixer 22"/>
        <s v="Mixer 27"/>
        <s v="Monitor 21"/>
        <s v="Monitor 30"/>
        <s v="Monitor 4"/>
        <s v="Mouse 12"/>
        <s v="Mouse 19"/>
        <s v="Power Bank 16"/>
        <s v="Printer 13"/>
        <s v="Printer 25"/>
        <s v="Printer 29"/>
        <s v="Router 26"/>
        <s v="Router 28"/>
        <s v="Smart Watch 3"/>
        <s v="Smartphone 11"/>
        <s v="Smartphone 5"/>
        <s v="Tablet 15"/>
        <s v="Tablet 24"/>
      </sharedItems>
    </cacheField>
    <cacheField name="[Measures].[Sum of Total_Amount]" caption="Sum of Total_Amount" numFmtId="0" hierarchy="38" level="32767"/>
    <cacheField name="[Table1].[Supplier_Name].[Supplier_Name]" caption="Supplier_Name" numFmtId="0" hierarchy="1" level="1">
      <sharedItems containsSemiMixedTypes="0" containsNonDate="0" containsString="0"/>
    </cacheField>
  </cacheFields>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fieldsUsage count="2">
        <fieldUsage x="-1"/>
        <fieldUsage x="0"/>
      </fieldsUsage>
    </cacheHierarchy>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212.844231712967" createdVersion="8" refreshedVersion="8" minRefreshableVersion="3" recordCount="0" supportSubquery="1" supportAdvancedDrill="1" xr:uid="{7A332B4B-FD8C-4FBE-B718-D32FCAA4ED91}">
  <cacheSource type="external" connectionId="1"/>
  <cacheFields count="0"/>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0" memberValueDatatype="5"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hidden="1">
      <extLst>
        <ext xmlns:x15="http://schemas.microsoft.com/office/spreadsheetml/2010/11/main" uri="{B97F6D7D-B522-45F9-BDA1-12C45D357490}">
          <x15:cacheHierarchy aggregatedColumn="26"/>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1" dimension="2"/>
    <map measureGroup="2" dimension="1"/>
    <map measureGroup="2" dimension="3"/>
    <map measureGroup="3" dimension="2"/>
    <map measureGroup="3" dimension="4"/>
    <map measureGroup="4" dimension="1"/>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anu" refreshedDate="46193.766134837962" createdVersion="3" refreshedVersion="8" minRefreshableVersion="3" recordCount="0" supportSubquery="1" supportAdvancedDrill="1" xr:uid="{60A96A5F-A4EA-4B3E-AEBD-83F11E960ECA}">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ontact_No]" caption="Contact_No" attribute="1" defaultMemberUniqueName="[Table1].[Contact_No].[All]" allUniqueName="[Table1].[Contact_No].[All]" dimensionUniqueName="[Table1]"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Unit_Price]" caption="Unit_Price" attribute="1" defaultMemberUniqueName="[Table3].[Unit_Price].[All]" allUniqueName="[Table3].[Unit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4].[Customer_ID]" caption="Customer_ID" attribute="1" defaultMemberUniqueName="[Table4].[Customer_ID].[All]" allUniqueName="[Table4].[Customer_ID].[All]" dimensionUniqueName="[Table4]" displayFolder="" count="0" memberValueDatatype="20" unbalanced="0"/>
    <cacheHierarchy uniqueName="[Table4].[Customer_Name]" caption="Customer_Name" attribute="1" defaultMemberUniqueName="[Table4].[Customer_Name].[All]" allUniqueName="[Table4].[Customer_Name].[All]" dimensionUniqueName="[Table4]" displayFolder="" count="0" memberValueDatatype="130" unbalanced="0"/>
    <cacheHierarchy uniqueName="[Table4].[Gender]" caption="Gender" attribute="1" defaultMemberUniqueName="[Table4].[Gender].[All]" allUniqueName="[Table4].[Gender].[All]" dimensionUniqueName="[Table4]" displayFolder="" count="2" memberValueDatatype="130" unbalanced="0"/>
    <cacheHierarchy uniqueName="[Table4].[Age]" caption="Age" attribute="1" defaultMemberUniqueName="[Table4].[Age].[All]" allUniqueName="[Table4].[Age].[All]" dimensionUniqueName="[Table4]" displayFolder="" count="0" memberValueDatatype="20" unbalanced="0"/>
    <cacheHierarchy uniqueName="[Table4].[City]" caption="City" attribute="1" defaultMemberUniqueName="[Table4].[City].[All]" allUniqueName="[Table4].[City].[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Join_Date]" caption="Join_Date" attribute="1" defaultMemberUniqueName="[Table4].[Join_Date].[All]" allUniqueName="[Table4].[Join_Date].[All]" dimensionUniqueName="[Table4]" displayFolder="" count="0" memberValueDatatype="130" unbalanced="0"/>
    <cacheHierarchy uniqueName="[Table5].[Sale_ID]" caption="Sale_ID" attribute="1" defaultMemberUniqueName="[Table5].[Sale_ID].[All]" allUniqueName="[Table5].[Sale_ID].[All]" dimensionUniqueName="[Table5]" displayFolder="" count="0" memberValueDatatype="130" unbalanced="0"/>
    <cacheHierarchy uniqueName="[Table5].[Customer_ID]" caption="Customer_ID" attribute="1" defaultMemberUniqueName="[Table5].[Customer_ID].[All]" allUniqueName="[Table5].[Customer_ID].[All]" dimensionUniqueName="[Table5]" displayFolder="" count="0" memberValueDatatype="20" unbalanced="0"/>
    <cacheHierarchy uniqueName="[Table5].[Product_ID]" caption="Product_ID" attribute="1" defaultMemberUniqueName="[Table5].[Product_ID].[All]" allUniqueName="[Table5].[Product_ID].[All]" dimensionUniqueName="[Table5]" displayFolder="" count="0" memberValueDatatype="130" unbalanced="0"/>
    <cacheHierarchy uniqueName="[Table5].[Store_ID]" caption="Store_ID" attribute="1" defaultMemberUniqueName="[Table5].[Store_ID].[All]" allUniqueName="[Table5].[Store_ID].[All]" dimensionUniqueName="[Table5]" displayFolder="" count="0" memberValueDatatype="130" unbalanced="0"/>
    <cacheHierarchy uniqueName="[Table5].[Sale_Date]" caption="Sale_Date" attribute="1" defaultMemberUniqueName="[Table5].[Sale_Date].[All]" allUniqueName="[Table5].[Sale_Date].[All]" dimensionUniqueName="[Table5]" displayFolder="" count="0" memberValueDatatype="130" unbalanced="0"/>
    <cacheHierarchy uniqueName="[Table5].[Quantity]" caption="Quantity" attribute="1" defaultMemberUniqueName="[Table5].[Quantity].[All]" allUniqueName="[Table5].[Quantity].[All]" dimensionUniqueName="[Table5]" displayFolder="" count="0" memberValueDatatype="20" unbalanced="0"/>
    <cacheHierarchy uniqueName="[Table5].[Total_Amount]" caption="Total_Amount" attribute="1" defaultMemberUniqueName="[Table5].[Total_Amount].[All]" allUniqueName="[Table5].[Total_Amount].[All]" dimensionUniqueName="[Table5]" displayFolder="" count="2" memberValueDatatype="5"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0" memberValueDatatype="20" unbalanced="0"/>
    <cacheHierarchy uniqueName="[Measures].[measure 1]" caption="measure 1" measure="1" displayFolder="" measureGroup="Table1" count="0"/>
    <cacheHierarchy uniqueName="[Measures].[measure 2]" caption="measure 2" measure="1" displayFolder="" measureGroup="Table1" count="0"/>
    <cacheHierarchy uniqueName="[Measures].[measure 3]" caption="measure 3"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Total_Amount]" caption="Sum of Total_Amount" measure="1" displayFolder="" measureGroup="Table5"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64362260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s v="Akhil_1"/>
    <x v="0"/>
    <n v="39"/>
    <s v="Bengaluru"/>
    <s v="S01"/>
    <s v="2025-05-29"/>
  </r>
  <r>
    <n v="1002"/>
    <s v="Ramesh_2"/>
    <x v="0"/>
    <n v="51"/>
    <s v="Chennai"/>
    <s v="S01"/>
    <s v="2025-05-31"/>
  </r>
  <r>
    <n v="1003"/>
    <s v="Priya_3"/>
    <x v="1"/>
    <n v="25"/>
    <s v="Hyderabad"/>
    <s v="S07"/>
    <s v="2025-11-19"/>
  </r>
  <r>
    <n v="1004"/>
    <s v="Rahul_4"/>
    <x v="0"/>
    <n v="28"/>
    <s v="Guntur"/>
    <s v="S06"/>
    <s v="2025-01-07"/>
  </r>
  <r>
    <n v="1005"/>
    <s v="Rahul_5"/>
    <x v="0"/>
    <n v="29"/>
    <s v="Guntur"/>
    <s v="S01"/>
    <s v="2025-01-04"/>
  </r>
  <r>
    <n v="1006"/>
    <s v="Anjali_6"/>
    <x v="1"/>
    <n v="50"/>
    <s v="Visakhapatnam"/>
    <s v="S08"/>
    <s v="2024-10-13"/>
  </r>
  <r>
    <n v="1007"/>
    <s v="Rahul_7"/>
    <x v="1"/>
    <n v="28"/>
    <s v="Guntur"/>
    <s v="S06"/>
    <s v="2025-01-19"/>
  </r>
  <r>
    <n v="1008"/>
    <s v="Akhil_8"/>
    <x v="1"/>
    <n v="19"/>
    <s v="Guntur"/>
    <s v="S06"/>
    <s v="2025-05-19"/>
  </r>
  <r>
    <n v="1009"/>
    <s v="Akhil_9"/>
    <x v="0"/>
    <n v="37"/>
    <s v="Hyderabad"/>
    <s v="S06"/>
    <s v="2025-09-01"/>
  </r>
  <r>
    <n v="1010"/>
    <s v="Priya_10"/>
    <x v="0"/>
    <n v="41"/>
    <s v="Warangal"/>
    <s v="S03"/>
    <s v="2024-08-14"/>
  </r>
  <r>
    <n v="1011"/>
    <s v="Divya_11"/>
    <x v="0"/>
    <n v="39"/>
    <s v="Hyderabad"/>
    <s v="S05"/>
    <s v="2025-11-08"/>
  </r>
  <r>
    <n v="1012"/>
    <s v="Anjali_12"/>
    <x v="0"/>
    <n v="48"/>
    <s v="Vijayawada"/>
    <s v="S03"/>
    <s v="2025-01-10"/>
  </r>
  <r>
    <n v="1013"/>
    <s v="Anjali_13"/>
    <x v="0"/>
    <n v="20"/>
    <s v="Warangal"/>
    <s v="S06"/>
    <s v="2025-07-24"/>
  </r>
  <r>
    <n v="1014"/>
    <s v="Arjun_14"/>
    <x v="1"/>
    <n v="32"/>
    <s v="Guntur"/>
    <s v="S01"/>
    <s v="2024-05-15"/>
  </r>
  <r>
    <n v="1015"/>
    <s v="Keerthi_15"/>
    <x v="1"/>
    <n v="19"/>
    <s v="Hyderabad"/>
    <s v="S01"/>
    <s v="2024-06-24"/>
  </r>
  <r>
    <n v="1016"/>
    <s v="Sneha_16"/>
    <x v="0"/>
    <n v="30"/>
    <s v="Bengaluru"/>
    <s v="S03"/>
    <s v="2025-04-06"/>
  </r>
  <r>
    <n v="1017"/>
    <s v="Kiran_17"/>
    <x v="1"/>
    <n v="58"/>
    <s v="Vijayawada"/>
    <s v="S05"/>
    <s v="2024-05-04"/>
  </r>
  <r>
    <n v="1018"/>
    <s v="Rahul_18"/>
    <x v="0"/>
    <n v="26"/>
    <s v="Visakhapatnam"/>
    <s v="S02"/>
    <s v="2024-12-03"/>
  </r>
  <r>
    <n v="1019"/>
    <s v="Ravi_19"/>
    <x v="1"/>
    <n v="26"/>
    <s v="Pune"/>
    <s v="S08"/>
    <s v="2025-10-24"/>
  </r>
  <r>
    <n v="1020"/>
    <s v="Nikhil_20"/>
    <x v="0"/>
    <n v="45"/>
    <s v="Bengaluru"/>
    <s v="S07"/>
    <s v="2024-11-17"/>
  </r>
  <r>
    <n v="1021"/>
    <s v="Priya_21"/>
    <x v="1"/>
    <n v="55"/>
    <s v="Hyderabad"/>
    <s v="S03"/>
    <s v="2025-10-09"/>
  </r>
  <r>
    <n v="1022"/>
    <s v="Priya_22"/>
    <x v="1"/>
    <n v="50"/>
    <s v="Visakhapatnam"/>
    <s v="S04"/>
    <s v="2024-06-01"/>
  </r>
  <r>
    <n v="1023"/>
    <s v="Arjun_23"/>
    <x v="1"/>
    <n v="27"/>
    <s v="Hyderabad"/>
    <s v="S01"/>
    <s v="2025-02-28"/>
  </r>
  <r>
    <n v="1024"/>
    <s v="Vikram_24"/>
    <x v="0"/>
    <n v="36"/>
    <s v="Pune"/>
    <s v="S06"/>
    <s v="2024-03-28"/>
  </r>
  <r>
    <n v="1025"/>
    <s v="Divya_25"/>
    <x v="1"/>
    <n v="47"/>
    <s v="Vijayawada"/>
    <s v="S04"/>
    <s v="2025-10-07"/>
  </r>
  <r>
    <n v="1026"/>
    <s v="Sita_26"/>
    <x v="0"/>
    <n v="60"/>
    <s v="Guntur"/>
    <s v="S02"/>
    <s v="2025-07-06"/>
  </r>
  <r>
    <n v="1027"/>
    <s v="Sita_27"/>
    <x v="1"/>
    <n v="32"/>
    <s v="Guntur"/>
    <s v="S03"/>
    <s v="2024-03-28"/>
  </r>
  <r>
    <n v="1028"/>
    <s v="Sneha_28"/>
    <x v="0"/>
    <n v="49"/>
    <s v="Vijayawada"/>
    <s v="S05"/>
    <s v="2024-05-21"/>
  </r>
  <r>
    <n v="1029"/>
    <s v="Kiran_29"/>
    <x v="0"/>
    <n v="37"/>
    <s v="Warangal"/>
    <s v="S03"/>
    <s v="2024-04-10"/>
  </r>
  <r>
    <n v="1030"/>
    <s v="Ramesh_30"/>
    <x v="0"/>
    <n v="49"/>
    <s v="Visakhapatnam"/>
    <s v="S06"/>
    <s v="2025-08-09"/>
  </r>
  <r>
    <n v="1031"/>
    <s v="Akhil_31"/>
    <x v="1"/>
    <n v="24"/>
    <s v="Visakhapatnam"/>
    <s v="S03"/>
    <s v="2025-04-12"/>
  </r>
  <r>
    <n v="1032"/>
    <s v="Sneha_32"/>
    <x v="0"/>
    <n v="60"/>
    <s v="Warangal"/>
    <s v="S03"/>
    <s v="2024-03-29"/>
  </r>
  <r>
    <n v="1033"/>
    <s v="Kiran_33"/>
    <x v="1"/>
    <n v="31"/>
    <s v="Vijayawada"/>
    <s v="S01"/>
    <s v="2024-06-30"/>
  </r>
  <r>
    <n v="1034"/>
    <s v="Anjali_34"/>
    <x v="1"/>
    <n v="21"/>
    <s v="Guntur"/>
    <s v="S05"/>
    <s v="2024-06-02"/>
  </r>
  <r>
    <n v="1035"/>
    <s v="Priya_35"/>
    <x v="1"/>
    <n v="56"/>
    <s v="Chennai"/>
    <s v="S01"/>
    <s v="2024-09-05"/>
  </r>
  <r>
    <n v="1036"/>
    <s v="Ramesh_36"/>
    <x v="0"/>
    <n v="32"/>
    <s v="Visakhapatnam"/>
    <s v="S02"/>
    <s v="2025-08-04"/>
  </r>
  <r>
    <n v="1037"/>
    <s v="Akhil_37"/>
    <x v="0"/>
    <n v="34"/>
    <s v="Pune"/>
    <s v="S02"/>
    <s v="2024-06-23"/>
  </r>
  <r>
    <n v="1038"/>
    <s v="Rahul_38"/>
    <x v="1"/>
    <n v="18"/>
    <s v="Warangal"/>
    <s v="S07"/>
    <s v="2024-08-28"/>
  </r>
  <r>
    <n v="1039"/>
    <s v="Ramesh_39"/>
    <x v="1"/>
    <n v="59"/>
    <s v="Hyderabad"/>
    <s v="S07"/>
    <s v="2025-05-29"/>
  </r>
  <r>
    <n v="1040"/>
    <s v="Sneha_40"/>
    <x v="0"/>
    <n v="60"/>
    <s v="Warangal"/>
    <s v="S05"/>
    <s v="2025-06-16"/>
  </r>
  <r>
    <n v="1041"/>
    <s v="Arjun_41"/>
    <x v="0"/>
    <n v="27"/>
    <s v="Warangal"/>
    <s v="S08"/>
    <s v="2025-09-15"/>
  </r>
  <r>
    <n v="1042"/>
    <s v="Nikhil_42"/>
    <x v="0"/>
    <n v="24"/>
    <s v="Chennai"/>
    <s v="S03"/>
    <s v="2024-09-19"/>
  </r>
  <r>
    <n v="1043"/>
    <s v="Pooja_43"/>
    <x v="0"/>
    <n v="50"/>
    <s v="Warangal"/>
    <s v="S04"/>
    <s v="2024-10-11"/>
  </r>
  <r>
    <n v="1044"/>
    <s v="Sita_44"/>
    <x v="1"/>
    <n v="47"/>
    <s v="Visakhapatnam"/>
    <s v="S02"/>
    <s v="2024-10-04"/>
  </r>
  <r>
    <n v="1045"/>
    <s v="Rahul_45"/>
    <x v="1"/>
    <n v="49"/>
    <s v="Guntur"/>
    <s v="S04"/>
    <s v="2025-10-30"/>
  </r>
  <r>
    <n v="1046"/>
    <s v="Divya_46"/>
    <x v="1"/>
    <n v="30"/>
    <s v="Visakhapatnam"/>
    <s v="S06"/>
    <s v="2025-09-22"/>
  </r>
  <r>
    <n v="1047"/>
    <s v="Nikhil_47"/>
    <x v="1"/>
    <n v="54"/>
    <s v="Bengaluru"/>
    <s v="S07"/>
    <s v="2024-12-16"/>
  </r>
  <r>
    <n v="1048"/>
    <s v="Rahul_48"/>
    <x v="1"/>
    <n v="44"/>
    <s v="Hyderabad"/>
    <s v="S08"/>
    <s v="2024-02-17"/>
  </r>
  <r>
    <n v="1049"/>
    <s v="Kiran_49"/>
    <x v="0"/>
    <n v="46"/>
    <s v="Vijayawada"/>
    <s v="S05"/>
    <s v="2024-01-17"/>
  </r>
  <r>
    <n v="1050"/>
    <s v="Sneha_50"/>
    <x v="0"/>
    <n v="56"/>
    <s v="Bengaluru"/>
    <s v="S01"/>
    <s v="2024-03-31"/>
  </r>
  <r>
    <n v="1051"/>
    <s v="Priya_51"/>
    <x v="0"/>
    <n v="31"/>
    <s v="Guntur"/>
    <s v="S08"/>
    <s v="2024-12-25"/>
  </r>
  <r>
    <n v="1052"/>
    <s v="Divya_52"/>
    <x v="0"/>
    <n v="52"/>
    <s v="Guntur"/>
    <s v="S05"/>
    <s v="2024-05-29"/>
  </r>
  <r>
    <n v="1053"/>
    <s v="Ramesh_53"/>
    <x v="0"/>
    <n v="41"/>
    <s v="Hyderabad"/>
    <s v="S08"/>
    <s v="2024-10-28"/>
  </r>
  <r>
    <n v="1054"/>
    <s v="Keerthi_54"/>
    <x v="0"/>
    <n v="45"/>
    <s v="Pune"/>
    <s v="S01"/>
    <s v="2024-01-17"/>
  </r>
  <r>
    <n v="1055"/>
    <s v="Divya_55"/>
    <x v="0"/>
    <n v="19"/>
    <s v="Pune"/>
    <s v="S02"/>
    <s v="2024-09-01"/>
  </r>
  <r>
    <n v="1056"/>
    <s v="Vikram_56"/>
    <x v="0"/>
    <n v="59"/>
    <s v="Warangal"/>
    <s v="S05"/>
    <s v="2025-01-11"/>
  </r>
  <r>
    <n v="1057"/>
    <s v="Kiran_57"/>
    <x v="0"/>
    <n v="18"/>
    <s v="Hyderabad"/>
    <s v="S04"/>
    <s v="2025-04-10"/>
  </r>
  <r>
    <n v="1058"/>
    <s v="Arjun_58"/>
    <x v="1"/>
    <n v="31"/>
    <s v="Bengaluru"/>
    <s v="S08"/>
    <s v="2024-01-30"/>
  </r>
  <r>
    <n v="1059"/>
    <s v="Ravi_59"/>
    <x v="0"/>
    <n v="34"/>
    <s v="Warangal"/>
    <s v="S06"/>
    <s v="2025-05-29"/>
  </r>
  <r>
    <n v="1060"/>
    <s v="Ravi_60"/>
    <x v="0"/>
    <n v="31"/>
    <s v="Pune"/>
    <s v="S03"/>
    <s v="2025-08-03"/>
  </r>
  <r>
    <n v="1061"/>
    <s v="Vikram_61"/>
    <x v="1"/>
    <n v="27"/>
    <s v="Visakhapatnam"/>
    <s v="S03"/>
    <s v="2024-12-27"/>
  </r>
  <r>
    <n v="1062"/>
    <s v="Rahul_62"/>
    <x v="1"/>
    <n v="25"/>
    <s v="Hyderabad"/>
    <s v="S07"/>
    <s v="2024-07-22"/>
  </r>
  <r>
    <n v="1063"/>
    <s v="Nikhil_63"/>
    <x v="0"/>
    <n v="25"/>
    <s v="Hyderabad"/>
    <s v="S04"/>
    <s v="2024-06-21"/>
  </r>
  <r>
    <n v="1064"/>
    <s v="Anjali_64"/>
    <x v="0"/>
    <n v="26"/>
    <s v="Chennai"/>
    <s v="S07"/>
    <s v="2025-07-04"/>
  </r>
  <r>
    <n v="1065"/>
    <s v="Vikram_65"/>
    <x v="0"/>
    <n v="23"/>
    <s v="Hyderabad"/>
    <s v="S02"/>
    <s v="2025-01-09"/>
  </r>
  <r>
    <n v="1066"/>
    <s v="Akhil_66"/>
    <x v="0"/>
    <n v="48"/>
    <s v="Visakhapatnam"/>
    <s v="S03"/>
    <s v="2025-06-02"/>
  </r>
  <r>
    <n v="1067"/>
    <s v="Ramesh_67"/>
    <x v="1"/>
    <n v="23"/>
    <s v="Vijayawada"/>
    <s v="S02"/>
    <s v="2024-12-04"/>
  </r>
  <r>
    <n v="1068"/>
    <s v="Nikhil_68"/>
    <x v="1"/>
    <n v="46"/>
    <s v="Chennai"/>
    <s v="S06"/>
    <s v="2024-05-15"/>
  </r>
  <r>
    <n v="1069"/>
    <s v="Arjun_69"/>
    <x v="0"/>
    <n v="22"/>
    <s v="Hyderabad"/>
    <s v="S08"/>
    <s v="2025-01-10"/>
  </r>
  <r>
    <n v="1070"/>
    <s v="Keerthi_70"/>
    <x v="1"/>
    <n v="59"/>
    <s v="Chennai"/>
    <s v="S05"/>
    <s v="2025-05-01"/>
  </r>
  <r>
    <n v="1071"/>
    <s v="Rahul_71"/>
    <x v="1"/>
    <n v="48"/>
    <s v="Chennai"/>
    <s v="S04"/>
    <s v="2024-04-16"/>
  </r>
  <r>
    <n v="1072"/>
    <s v="Sita_72"/>
    <x v="0"/>
    <n v="23"/>
    <s v="Guntur"/>
    <s v="S01"/>
    <s v="2025-10-02"/>
  </r>
  <r>
    <n v="1073"/>
    <s v="Arjun_73"/>
    <x v="0"/>
    <n v="43"/>
    <s v="Warangal"/>
    <s v="S06"/>
    <s v="2025-04-26"/>
  </r>
  <r>
    <n v="1074"/>
    <s v="Sita_74"/>
    <x v="1"/>
    <n v="46"/>
    <s v="Hyderabad"/>
    <s v="S07"/>
    <s v="2024-10-20"/>
  </r>
  <r>
    <n v="1075"/>
    <s v="Nikhil_75"/>
    <x v="1"/>
    <n v="18"/>
    <s v="Guntur"/>
    <s v="S04"/>
    <s v="2025-02-05"/>
  </r>
  <r>
    <n v="1076"/>
    <s v="Pooja_76"/>
    <x v="0"/>
    <n v="49"/>
    <s v="Vijayawada"/>
    <s v="S01"/>
    <s v="2025-10-11"/>
  </r>
  <r>
    <n v="1077"/>
    <s v="Sneha_77"/>
    <x v="0"/>
    <n v="42"/>
    <s v="Visakhapatnam"/>
    <s v="S06"/>
    <s v="2024-01-04"/>
  </r>
  <r>
    <n v="1078"/>
    <s v="Pooja_78"/>
    <x v="1"/>
    <n v="29"/>
    <s v="Chennai"/>
    <s v="S08"/>
    <s v="2025-11-04"/>
  </r>
  <r>
    <n v="1079"/>
    <s v="Priya_79"/>
    <x v="0"/>
    <n v="39"/>
    <s v="Chennai"/>
    <s v="S08"/>
    <s v="2025-08-04"/>
  </r>
  <r>
    <n v="1080"/>
    <s v="Sita_80"/>
    <x v="0"/>
    <n v="46"/>
    <s v="Hyderabad"/>
    <s v="S06"/>
    <s v="2024-01-29"/>
  </r>
  <r>
    <n v="1081"/>
    <s v="Anjali_81"/>
    <x v="0"/>
    <n v="27"/>
    <s v="Hyderabad"/>
    <s v="S07"/>
    <s v="2025-04-08"/>
  </r>
  <r>
    <n v="1082"/>
    <s v="Keerthi_82"/>
    <x v="1"/>
    <n v="25"/>
    <s v="Bengaluru"/>
    <s v="S05"/>
    <s v="2024-07-11"/>
  </r>
  <r>
    <n v="1083"/>
    <s v="Sita_83"/>
    <x v="1"/>
    <n v="26"/>
    <s v="Vijayawada"/>
    <s v="S05"/>
    <s v="2024-08-23"/>
  </r>
  <r>
    <n v="1084"/>
    <s v="Vikram_84"/>
    <x v="0"/>
    <n v="45"/>
    <s v="Vijayawada"/>
    <s v="S03"/>
    <s v="2024-11-27"/>
  </r>
  <r>
    <n v="1085"/>
    <s v="Sneha_85"/>
    <x v="1"/>
    <n v="32"/>
    <s v="Bengaluru"/>
    <s v="S06"/>
    <s v="2025-11-25"/>
  </r>
  <r>
    <n v="1086"/>
    <s v="Priya_86"/>
    <x v="0"/>
    <n v="49"/>
    <s v="Warangal"/>
    <s v="S06"/>
    <s v="2025-09-23"/>
  </r>
  <r>
    <n v="1087"/>
    <s v="Anjali_87"/>
    <x v="0"/>
    <n v="56"/>
    <s v="Visakhapatnam"/>
    <s v="S02"/>
    <s v="2025-04-15"/>
  </r>
  <r>
    <n v="1088"/>
    <s v="Anjali_88"/>
    <x v="1"/>
    <n v="59"/>
    <s v="Chennai"/>
    <s v="S03"/>
    <s v="2024-09-19"/>
  </r>
  <r>
    <n v="1089"/>
    <s v="Akhil_89"/>
    <x v="0"/>
    <n v="54"/>
    <s v="Vijayawada"/>
    <s v="S06"/>
    <s v="2025-05-04"/>
  </r>
  <r>
    <n v="1090"/>
    <s v="Sita_90"/>
    <x v="1"/>
    <n v="30"/>
    <s v="Guntur"/>
    <s v="S01"/>
    <s v="2024-12-17"/>
  </r>
  <r>
    <n v="1091"/>
    <s v="Anjali_91"/>
    <x v="0"/>
    <n v="44"/>
    <s v="Pune"/>
    <s v="S04"/>
    <s v="2024-02-21"/>
  </r>
  <r>
    <n v="1092"/>
    <s v="Priya_92"/>
    <x v="0"/>
    <n v="33"/>
    <s v="Chennai"/>
    <s v="S07"/>
    <s v="2024-06-06"/>
  </r>
  <r>
    <n v="1093"/>
    <s v="Arjun_93"/>
    <x v="0"/>
    <n v="24"/>
    <s v="Pune"/>
    <s v="S08"/>
    <s v="2025-05-06"/>
  </r>
  <r>
    <n v="1094"/>
    <s v="Keerthi_94"/>
    <x v="0"/>
    <n v="45"/>
    <s v="Warangal"/>
    <s v="S06"/>
    <s v="2025-01-09"/>
  </r>
  <r>
    <n v="1095"/>
    <s v="Divya_95"/>
    <x v="0"/>
    <n v="39"/>
    <s v="Vijayawada"/>
    <s v="S06"/>
    <s v="2024-12-05"/>
  </r>
  <r>
    <n v="1096"/>
    <s v="Akhil_96"/>
    <x v="1"/>
    <n v="46"/>
    <s v="Hyderabad"/>
    <s v="S06"/>
    <s v="2025-07-03"/>
  </r>
  <r>
    <n v="1097"/>
    <s v="Priya_97"/>
    <x v="0"/>
    <n v="56"/>
    <s v="Chennai"/>
    <s v="S05"/>
    <s v="2025-07-30"/>
  </r>
  <r>
    <n v="1098"/>
    <s v="Ravi_98"/>
    <x v="0"/>
    <n v="41"/>
    <s v="Pune"/>
    <s v="S05"/>
    <s v="2024-03-16"/>
  </r>
  <r>
    <n v="1099"/>
    <s v="Akhil_99"/>
    <x v="1"/>
    <n v="40"/>
    <s v="Bengaluru"/>
    <s v="S07"/>
    <s v="2024-03-17"/>
  </r>
  <r>
    <n v="1100"/>
    <s v="Vikram_100"/>
    <x v="0"/>
    <n v="44"/>
    <s v="Warangal"/>
    <s v="S04"/>
    <s v="2024-03-05"/>
  </r>
  <r>
    <n v="1101"/>
    <s v="Anjali_101"/>
    <x v="1"/>
    <n v="36"/>
    <s v="Chennai"/>
    <s v="S06"/>
    <s v="2025-10-11"/>
  </r>
  <r>
    <n v="1102"/>
    <s v="Rahul_102"/>
    <x v="1"/>
    <n v="47"/>
    <s v="Vijayawada"/>
    <s v="S03"/>
    <s v="2025-06-13"/>
  </r>
  <r>
    <n v="1103"/>
    <s v="Keerthi_103"/>
    <x v="0"/>
    <n v="26"/>
    <s v="Bengaluru"/>
    <s v="S07"/>
    <s v="2025-01-12"/>
  </r>
  <r>
    <n v="1104"/>
    <s v="Ravi_104"/>
    <x v="0"/>
    <n v="31"/>
    <s v="Warangal"/>
    <s v="S03"/>
    <s v="2025-01-18"/>
  </r>
  <r>
    <n v="1105"/>
    <s v="Divya_105"/>
    <x v="1"/>
    <n v="18"/>
    <s v="Hyderabad"/>
    <s v="S02"/>
    <s v="2024-02-26"/>
  </r>
  <r>
    <n v="1106"/>
    <s v="Nikhil_106"/>
    <x v="0"/>
    <n v="42"/>
    <s v="Visakhapatnam"/>
    <s v="S04"/>
    <s v="2024-11-02"/>
  </r>
  <r>
    <n v="1107"/>
    <s v="Keerthi_107"/>
    <x v="0"/>
    <n v="47"/>
    <s v="Chennai"/>
    <s v="S01"/>
    <s v="2025-04-16"/>
  </r>
  <r>
    <n v="1108"/>
    <s v="Priya_108"/>
    <x v="1"/>
    <n v="22"/>
    <s v="Hyderabad"/>
    <s v="S03"/>
    <s v="2025-04-25"/>
  </r>
  <r>
    <n v="1109"/>
    <s v="Sita_109"/>
    <x v="0"/>
    <n v="50"/>
    <s v="Bengaluru"/>
    <s v="S03"/>
    <s v="2024-08-26"/>
  </r>
  <r>
    <n v="1110"/>
    <s v="Sita_110"/>
    <x v="1"/>
    <n v="45"/>
    <s v="Guntur"/>
    <s v="S08"/>
    <s v="2025-10-20"/>
  </r>
  <r>
    <n v="1111"/>
    <s v="Ravi_111"/>
    <x v="0"/>
    <n v="58"/>
    <s v="Pune"/>
    <s v="S01"/>
    <s v="2025-09-30"/>
  </r>
  <r>
    <n v="1112"/>
    <s v="Sita_112"/>
    <x v="0"/>
    <n v="49"/>
    <s v="Hyderabad"/>
    <s v="S07"/>
    <s v="2025-04-19"/>
  </r>
  <r>
    <n v="1113"/>
    <s v="Nikhil_113"/>
    <x v="1"/>
    <n v="35"/>
    <s v="Bengaluru"/>
    <s v="S08"/>
    <s v="2024-01-03"/>
  </r>
  <r>
    <n v="1114"/>
    <s v="Priya_114"/>
    <x v="0"/>
    <n v="19"/>
    <s v="Guntur"/>
    <s v="S07"/>
    <s v="2025-01-16"/>
  </r>
  <r>
    <n v="1115"/>
    <s v="Arjun_115"/>
    <x v="1"/>
    <n v="38"/>
    <s v="Vijayawada"/>
    <s v="S07"/>
    <s v="2025-03-27"/>
  </r>
  <r>
    <n v="1116"/>
    <s v="Priya_116"/>
    <x v="1"/>
    <n v="39"/>
    <s v="Hyderabad"/>
    <s v="S03"/>
    <s v="2025-04-07"/>
  </r>
  <r>
    <n v="1117"/>
    <s v="Sneha_117"/>
    <x v="1"/>
    <n v="29"/>
    <s v="Hyderabad"/>
    <s v="S03"/>
    <s v="2024-02-27"/>
  </r>
  <r>
    <n v="1118"/>
    <s v="Ravi_118"/>
    <x v="0"/>
    <n v="37"/>
    <s v="Chennai"/>
    <s v="S01"/>
    <s v="2024-09-18"/>
  </r>
  <r>
    <n v="1119"/>
    <s v="Ramesh_119"/>
    <x v="1"/>
    <n v="19"/>
    <s v="Pune"/>
    <s v="S05"/>
    <s v="2024-07-28"/>
  </r>
  <r>
    <n v="1120"/>
    <s v="Pooja_120"/>
    <x v="1"/>
    <n v="27"/>
    <s v="Pune"/>
    <s v="S07"/>
    <s v="2025-08-30"/>
  </r>
  <r>
    <n v="1121"/>
    <s v="Akhil_121"/>
    <x v="0"/>
    <n v="60"/>
    <s v="Pune"/>
    <s v="S08"/>
    <s v="2024-07-31"/>
  </r>
  <r>
    <n v="1122"/>
    <s v="Rahul_122"/>
    <x v="1"/>
    <n v="19"/>
    <s v="Vijayawada"/>
    <s v="S07"/>
    <s v="2024-07-06"/>
  </r>
  <r>
    <n v="1123"/>
    <s v="Ramesh_123"/>
    <x v="1"/>
    <n v="38"/>
    <s v="Warangal"/>
    <s v="S05"/>
    <s v="2025-10-23"/>
  </r>
  <r>
    <n v="1124"/>
    <s v="Divya_124"/>
    <x v="0"/>
    <n v="41"/>
    <s v="Hyderabad"/>
    <s v="S03"/>
    <s v="2024-07-08"/>
  </r>
  <r>
    <n v="1125"/>
    <s v="Ramesh_125"/>
    <x v="1"/>
    <n v="56"/>
    <s v="Visakhapatnam"/>
    <s v="S02"/>
    <s v="2025-02-22"/>
  </r>
  <r>
    <n v="1126"/>
    <s v="Arjun_126"/>
    <x v="1"/>
    <n v="50"/>
    <s v="Guntur"/>
    <s v="S06"/>
    <s v="2025-02-02"/>
  </r>
  <r>
    <n v="1127"/>
    <s v="Nikhil_127"/>
    <x v="0"/>
    <n v="23"/>
    <s v="Bengaluru"/>
    <s v="S04"/>
    <s v="2025-09-05"/>
  </r>
  <r>
    <n v="1128"/>
    <s v="Keerthi_128"/>
    <x v="1"/>
    <n v="25"/>
    <s v="Hyderabad"/>
    <s v="S06"/>
    <s v="2024-04-28"/>
  </r>
  <r>
    <n v="1129"/>
    <s v="Sita_129"/>
    <x v="0"/>
    <n v="26"/>
    <s v="Vijayawada"/>
    <s v="S04"/>
    <s v="2024-03-30"/>
  </r>
  <r>
    <n v="1130"/>
    <s v="Kiran_130"/>
    <x v="1"/>
    <n v="50"/>
    <s v="Hyderabad"/>
    <s v="S01"/>
    <s v="2025-02-22"/>
  </r>
  <r>
    <n v="1131"/>
    <s v="Vikram_131"/>
    <x v="0"/>
    <n v="26"/>
    <s v="Warangal"/>
    <s v="S07"/>
    <s v="2025-03-10"/>
  </r>
  <r>
    <n v="1132"/>
    <s v="Pooja_132"/>
    <x v="0"/>
    <n v="27"/>
    <s v="Hyderabad"/>
    <s v="S04"/>
    <s v="2024-08-12"/>
  </r>
  <r>
    <n v="1133"/>
    <s v="Akhil_133"/>
    <x v="0"/>
    <n v="51"/>
    <s v="Guntur"/>
    <s v="S05"/>
    <s v="2024-05-03"/>
  </r>
  <r>
    <n v="1134"/>
    <s v="Vikram_134"/>
    <x v="1"/>
    <n v="19"/>
    <s v="Hyderabad"/>
    <s v="S02"/>
    <s v="2025-10-17"/>
  </r>
  <r>
    <n v="1135"/>
    <s v="Arjun_135"/>
    <x v="0"/>
    <n v="30"/>
    <s v="Warangal"/>
    <s v="S03"/>
    <s v="2025-06-28"/>
  </r>
  <r>
    <n v="1136"/>
    <s v="Kiran_136"/>
    <x v="1"/>
    <n v="49"/>
    <s v="Hyderabad"/>
    <s v="S01"/>
    <s v="2025-05-23"/>
  </r>
  <r>
    <n v="1137"/>
    <s v="Nikhil_137"/>
    <x v="1"/>
    <n v="19"/>
    <s v="Pune"/>
    <s v="S08"/>
    <s v="2025-02-03"/>
  </r>
  <r>
    <n v="1138"/>
    <s v="Rahul_138"/>
    <x v="0"/>
    <n v="33"/>
    <s v="Visakhapatnam"/>
    <s v="S05"/>
    <s v="2024-12-23"/>
  </r>
  <r>
    <n v="1139"/>
    <s v="Nikhil_139"/>
    <x v="0"/>
    <n v="43"/>
    <s v="Chennai"/>
    <s v="S05"/>
    <s v="2024-10-05"/>
  </r>
  <r>
    <n v="1140"/>
    <s v="Priya_140"/>
    <x v="0"/>
    <n v="22"/>
    <s v="Pune"/>
    <s v="S05"/>
    <s v="2024-06-22"/>
  </r>
  <r>
    <n v="1141"/>
    <s v="Arjun_141"/>
    <x v="1"/>
    <n v="58"/>
    <s v="Vijayawada"/>
    <s v="S03"/>
    <s v="2025-06-26"/>
  </r>
  <r>
    <n v="1142"/>
    <s v="Arjun_142"/>
    <x v="0"/>
    <n v="37"/>
    <s v="Warangal"/>
    <s v="S03"/>
    <s v="2024-07-31"/>
  </r>
  <r>
    <n v="1143"/>
    <s v="Sita_143"/>
    <x v="0"/>
    <n v="23"/>
    <s v="Chennai"/>
    <s v="S08"/>
    <s v="2025-03-24"/>
  </r>
  <r>
    <n v="1144"/>
    <s v="Ramesh_144"/>
    <x v="0"/>
    <n v="59"/>
    <s v="Hyderabad"/>
    <s v="S02"/>
    <s v="2024-10-17"/>
  </r>
  <r>
    <n v="1145"/>
    <s v="Kiran_145"/>
    <x v="1"/>
    <n v="18"/>
    <s v="Visakhapatnam"/>
    <s v="S03"/>
    <s v="2024-10-28"/>
  </r>
  <r>
    <n v="1146"/>
    <s v="Sita_146"/>
    <x v="0"/>
    <n v="34"/>
    <s v="Chennai"/>
    <s v="S04"/>
    <s v="2024-10-26"/>
  </r>
  <r>
    <n v="1147"/>
    <s v="Akhil_147"/>
    <x v="0"/>
    <n v="30"/>
    <s v="Guntur"/>
    <s v="S04"/>
    <s v="2024-02-28"/>
  </r>
  <r>
    <n v="1148"/>
    <s v="Priya_148"/>
    <x v="0"/>
    <n v="49"/>
    <s v="Pune"/>
    <s v="S05"/>
    <s v="2025-08-06"/>
  </r>
  <r>
    <n v="1149"/>
    <s v="Akhil_149"/>
    <x v="1"/>
    <n v="29"/>
    <s v="Warangal"/>
    <s v="S06"/>
    <s v="2025-07-26"/>
  </r>
  <r>
    <n v="1150"/>
    <s v="Priya_150"/>
    <x v="0"/>
    <n v="39"/>
    <s v="Vijayawada"/>
    <s v="S05"/>
    <s v="2025-05-05"/>
  </r>
  <r>
    <n v="1151"/>
    <s v="Priya_151"/>
    <x v="0"/>
    <n v="42"/>
    <s v="Visakhapatnam"/>
    <s v="S08"/>
    <s v="2024-05-31"/>
  </r>
  <r>
    <n v="1152"/>
    <s v="Ravi_152"/>
    <x v="0"/>
    <n v="58"/>
    <s v="Bengaluru"/>
    <s v="S07"/>
    <s v="2024-02-12"/>
  </r>
  <r>
    <n v="1153"/>
    <s v="Ramesh_153"/>
    <x v="0"/>
    <n v="29"/>
    <s v="Visakhapatnam"/>
    <s v="S01"/>
    <s v="2024-05-13"/>
  </r>
  <r>
    <n v="1154"/>
    <s v="Priya_154"/>
    <x v="0"/>
    <n v="32"/>
    <s v="Chennai"/>
    <s v="S01"/>
    <s v="2024-08-10"/>
  </r>
  <r>
    <n v="1155"/>
    <s v="Divya_155"/>
    <x v="1"/>
    <n v="26"/>
    <s v="Pune"/>
    <s v="S01"/>
    <s v="2025-03-13"/>
  </r>
  <r>
    <n v="1156"/>
    <s v="Pooja_156"/>
    <x v="0"/>
    <n v="18"/>
    <s v="Hyderabad"/>
    <s v="S04"/>
    <s v="2025-03-24"/>
  </r>
  <r>
    <n v="1157"/>
    <s v="Nikhil_157"/>
    <x v="0"/>
    <n v="59"/>
    <s v="Bengaluru"/>
    <s v="S07"/>
    <s v="2024-09-14"/>
  </r>
  <r>
    <n v="1158"/>
    <s v="Akhil_158"/>
    <x v="1"/>
    <n v="58"/>
    <s v="Vijayawada"/>
    <s v="S08"/>
    <s v="2025-05-26"/>
  </r>
  <r>
    <n v="1159"/>
    <s v="Anjali_159"/>
    <x v="1"/>
    <n v="31"/>
    <s v="Guntur"/>
    <s v="S03"/>
    <s v="2025-02-08"/>
  </r>
  <r>
    <n v="1160"/>
    <s v="Priya_160"/>
    <x v="0"/>
    <n v="41"/>
    <s v="Pune"/>
    <s v="S07"/>
    <s v="2024-12-31"/>
  </r>
  <r>
    <n v="1161"/>
    <s v="Arjun_161"/>
    <x v="0"/>
    <n v="53"/>
    <s v="Pune"/>
    <s v="S07"/>
    <s v="2024-05-14"/>
  </r>
  <r>
    <n v="1162"/>
    <s v="Vikram_162"/>
    <x v="0"/>
    <n v="24"/>
    <s v="Bengaluru"/>
    <s v="S06"/>
    <s v="2025-02-10"/>
  </r>
  <r>
    <n v="1163"/>
    <s v="Pooja_163"/>
    <x v="0"/>
    <n v="34"/>
    <s v="Guntur"/>
    <s v="S06"/>
    <s v="2024-11-15"/>
  </r>
  <r>
    <n v="1164"/>
    <s v="Anjali_164"/>
    <x v="1"/>
    <n v="30"/>
    <s v="Hyderabad"/>
    <s v="S02"/>
    <s v="2025-06-19"/>
  </r>
  <r>
    <n v="1165"/>
    <s v="Akhil_165"/>
    <x v="1"/>
    <n v="58"/>
    <s v="Warangal"/>
    <s v="S01"/>
    <s v="2025-01-31"/>
  </r>
  <r>
    <n v="1166"/>
    <s v="Arjun_166"/>
    <x v="1"/>
    <n v="40"/>
    <s v="Bengaluru"/>
    <s v="S07"/>
    <s v="2025-09-16"/>
  </r>
  <r>
    <n v="1167"/>
    <s v="Nikhil_167"/>
    <x v="1"/>
    <n v="26"/>
    <s v="Bengaluru"/>
    <s v="S07"/>
    <s v="2024-02-04"/>
  </r>
  <r>
    <n v="1168"/>
    <s v="Ramesh_168"/>
    <x v="0"/>
    <n v="40"/>
    <s v="Pune"/>
    <s v="S07"/>
    <s v="2025-04-02"/>
  </r>
  <r>
    <n v="1169"/>
    <s v="Arjun_169"/>
    <x v="1"/>
    <n v="24"/>
    <s v="Vijayawada"/>
    <s v="S01"/>
    <s v="2025-08-15"/>
  </r>
  <r>
    <n v="1170"/>
    <s v="Ravi_170"/>
    <x v="1"/>
    <n v="49"/>
    <s v="Bengaluru"/>
    <s v="S01"/>
    <s v="2025-09-02"/>
  </r>
  <r>
    <n v="1171"/>
    <s v="Priya_171"/>
    <x v="1"/>
    <n v="24"/>
    <s v="Warangal"/>
    <s v="S06"/>
    <s v="2025-01-27"/>
  </r>
  <r>
    <n v="1172"/>
    <s v="Priya_172"/>
    <x v="1"/>
    <n v="22"/>
    <s v="Chennai"/>
    <s v="S01"/>
    <s v="2024-11-24"/>
  </r>
  <r>
    <n v="1173"/>
    <s v="Rahul_173"/>
    <x v="1"/>
    <n v="56"/>
    <s v="Bengaluru"/>
    <s v="S04"/>
    <s v="2024-08-12"/>
  </r>
  <r>
    <n v="1174"/>
    <s v="Keerthi_174"/>
    <x v="1"/>
    <n v="37"/>
    <s v="Hyderabad"/>
    <s v="S01"/>
    <s v="2024-09-24"/>
  </r>
  <r>
    <n v="1175"/>
    <s v="Ramesh_175"/>
    <x v="1"/>
    <n v="49"/>
    <s v="Warangal"/>
    <s v="S07"/>
    <s v="2025-03-25"/>
  </r>
  <r>
    <n v="1176"/>
    <s v="Vikram_176"/>
    <x v="1"/>
    <n v="21"/>
    <s v="Chennai"/>
    <s v="S01"/>
    <s v="2025-06-29"/>
  </r>
  <r>
    <n v="1177"/>
    <s v="Vikram_177"/>
    <x v="1"/>
    <n v="32"/>
    <s v="Warangal"/>
    <s v="S01"/>
    <s v="2024-11-01"/>
  </r>
  <r>
    <n v="1178"/>
    <s v="Divya_178"/>
    <x v="0"/>
    <n v="29"/>
    <s v="Bengaluru"/>
    <s v="S02"/>
    <s v="2024-06-23"/>
  </r>
  <r>
    <n v="1179"/>
    <s v="Akhil_179"/>
    <x v="1"/>
    <n v="57"/>
    <s v="Guntur"/>
    <s v="S03"/>
    <s v="2025-10-24"/>
  </r>
  <r>
    <n v="1180"/>
    <s v="Anjali_180"/>
    <x v="1"/>
    <n v="46"/>
    <s v="Bengaluru"/>
    <s v="S01"/>
    <s v="2024-11-21"/>
  </r>
  <r>
    <n v="1181"/>
    <s v="Arjun_181"/>
    <x v="0"/>
    <n v="22"/>
    <s v="Hyderabad"/>
    <s v="S02"/>
    <s v="2024-08-04"/>
  </r>
  <r>
    <n v="1182"/>
    <s v="Keerthi_182"/>
    <x v="0"/>
    <n v="34"/>
    <s v="Visakhapatnam"/>
    <s v="S02"/>
    <s v="2025-03-23"/>
  </r>
  <r>
    <n v="1183"/>
    <s v="Sita_183"/>
    <x v="1"/>
    <n v="19"/>
    <s v="Bengaluru"/>
    <s v="S07"/>
    <s v="2024-08-28"/>
  </r>
  <r>
    <n v="1184"/>
    <s v="Keerthi_184"/>
    <x v="1"/>
    <n v="47"/>
    <s v="Warangal"/>
    <s v="S05"/>
    <s v="2024-09-25"/>
  </r>
  <r>
    <n v="1185"/>
    <s v="Akhil_185"/>
    <x v="0"/>
    <n v="23"/>
    <s v="Pune"/>
    <s v="S01"/>
    <s v="2025-04-02"/>
  </r>
  <r>
    <n v="1186"/>
    <s v="Keerthi_186"/>
    <x v="0"/>
    <n v="45"/>
    <s v="Visakhapatnam"/>
    <s v="S08"/>
    <s v="2024-10-13"/>
  </r>
  <r>
    <n v="1187"/>
    <s v="Nikhil_187"/>
    <x v="0"/>
    <n v="59"/>
    <s v="Vijayawada"/>
    <s v="S08"/>
    <s v="2024-08-17"/>
  </r>
  <r>
    <n v="1188"/>
    <s v="Rahul_188"/>
    <x v="1"/>
    <n v="24"/>
    <s v="Guntur"/>
    <s v="S07"/>
    <s v="2025-07-08"/>
  </r>
  <r>
    <n v="1189"/>
    <s v="Priya_189"/>
    <x v="0"/>
    <n v="33"/>
    <s v="Visakhapatnam"/>
    <s v="S07"/>
    <s v="2025-01-24"/>
  </r>
  <r>
    <n v="1190"/>
    <s v="Nikhil_190"/>
    <x v="0"/>
    <n v="51"/>
    <s v="Bengaluru"/>
    <s v="S02"/>
    <s v="2025-10-24"/>
  </r>
  <r>
    <n v="1191"/>
    <s v="Akhil_191"/>
    <x v="0"/>
    <n v="33"/>
    <s v="Warangal"/>
    <s v="S07"/>
    <s v="2024-04-11"/>
  </r>
  <r>
    <n v="1192"/>
    <s v="Ravi_192"/>
    <x v="0"/>
    <n v="54"/>
    <s v="Hyderabad"/>
    <s v="S07"/>
    <s v="2024-01-18"/>
  </r>
  <r>
    <n v="1193"/>
    <s v="Priya_193"/>
    <x v="0"/>
    <n v="60"/>
    <s v="Chennai"/>
    <s v="S03"/>
    <s v="2024-08-11"/>
  </r>
  <r>
    <n v="1194"/>
    <s v="Kiran_194"/>
    <x v="1"/>
    <n v="26"/>
    <s v="Warangal"/>
    <s v="S07"/>
    <s v="2024-03-29"/>
  </r>
  <r>
    <n v="1195"/>
    <s v="Ramesh_195"/>
    <x v="0"/>
    <n v="58"/>
    <s v="Vijayawada"/>
    <s v="S02"/>
    <s v="2025-04-17"/>
  </r>
  <r>
    <n v="1196"/>
    <s v="Pooja_196"/>
    <x v="1"/>
    <n v="19"/>
    <s v="Visakhapatnam"/>
    <s v="S01"/>
    <s v="2025-11-09"/>
  </r>
  <r>
    <n v="1197"/>
    <s v="Ravi_197"/>
    <x v="0"/>
    <n v="25"/>
    <s v="Warangal"/>
    <s v="S04"/>
    <s v="2024-08-04"/>
  </r>
  <r>
    <n v="1198"/>
    <s v="Anjali_198"/>
    <x v="0"/>
    <n v="44"/>
    <s v="Guntur"/>
    <s v="S04"/>
    <s v="2024-01-11"/>
  </r>
  <r>
    <n v="1199"/>
    <s v="Ravi_199"/>
    <x v="0"/>
    <n v="33"/>
    <s v="Chennai"/>
    <s v="S03"/>
    <s v="2024-08-23"/>
  </r>
  <r>
    <n v="1200"/>
    <s v="Nikhil_200"/>
    <x v="0"/>
    <n v="21"/>
    <s v="Visakhapatnam"/>
    <s v="S01"/>
    <s v="2024-07-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0A17A-C0E2-4905-AD50-AA8CC5020D97}" name="PivotTable3"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CC10B-984C-4DF8-84FA-D53ADA8C5479}" name="PivotTable2"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pivotField showAll="0">
      <items count="3">
        <item x="0"/>
        <item h="1" x="1"/>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CC550-5A99-46A5-A49F-B1F9C287BF25}" name="PivotTable2" cacheId="142" applyNumberFormats="0" applyBorderFormats="0" applyFontFormats="0" applyPatternFormats="0" applyAlignmentFormats="0" applyWidthHeightFormats="1" dataCaption="Values" tag="7ab88ea5-7d41-4042-8ef8-ca99162c5f85" updatedVersion="8" minRefreshableVersion="3" useAutoFormatting="1" subtotalHiddenItems="1" itemPrintTitles="1" createdVersion="5" indent="0" outline="1" outlineData="1" multipleFieldFilters="0" chartFormat="14">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dataFields>
  <chartFormats count="3">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5]"/>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86FB8-2F67-4EE0-AF27-D4424297FF3D}" name="PivotTable3" cacheId="145" applyNumberFormats="0" applyBorderFormats="0" applyFontFormats="0" applyPatternFormats="0" applyAlignmentFormats="0" applyWidthHeightFormats="1" dataCaption="Values" tag="d94e2386-910a-4e58-8913-e0ac88b3169d" updatedVersion="8" minRefreshableVersion="3" useAutoFormatting="1" subtotalHiddenItems="1" itemPrintTitles="1" createdVersion="5" indent="0" outline="1" outlineData="1" multipleFieldFilters="0" chartFormat="10">
  <location ref="A1:B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5]"/>
        <x15:activeTabTopLevelEntity name="[Table1]"/>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AC066-8EC7-4DE7-9E06-921FEA6F5470}" name="PivotTable4" cacheId="148" applyNumberFormats="0" applyBorderFormats="0" applyFontFormats="0" applyPatternFormats="0" applyAlignmentFormats="0" applyWidthHeightFormats="1" dataCaption="Values" tag="44a4d8fe-2ef2-44cf-aefe-914b84a75146" updatedVersion="8" minRefreshableVersion="3" useAutoFormatting="1" subtotalHiddenItems="1" itemPrintTitles="1" createdVersion="5" indent="0" outline="1" outlineData="1" multipleFieldFilters="0" chartFormat="8">
  <location ref="A1:B32"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_Amount"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D1D9A-EBDC-44F9-A3D7-FD10F9C52156}" name="PivotTable5" cacheId="136" applyNumberFormats="0" applyBorderFormats="0" applyFontFormats="0" applyPatternFormats="0" applyAlignmentFormats="0" applyWidthHeightFormats="1" dataCaption="Values" tag="fe75059e-79a4-4d39-86e2-bd5c8aaa6ba6" updatedVersion="8" minRefreshableVersion="3" useAutoFormatting="1" subtotalHiddenItems="1" itemPrintTitles="1" createdVersion="5" indent="0" outline="1" outlineData="1" multipleFieldFilters="0" chartFormat="6">
  <location ref="B3:C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996844-2917-4C37-915B-4739C4BDA095}" name="PivotTable6" cacheId="139" applyNumberFormats="0" applyBorderFormats="0" applyFontFormats="0" applyPatternFormats="0" applyAlignmentFormats="0" applyWidthHeightFormats="1" dataCaption="Values" tag="c2f5148d-e490-410b-b0bd-81b2e53d6fc9" updatedVersion="8" minRefreshableVersion="3" useAutoFormatting="1" subtotalHiddenItems="1" itemPrintTitles="1" createdVersion="5" indent="0" outline="1" outlineData="1" multipleFieldFilters="0" chartFormat="8">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Amount" fld="1" baseField="0" baseItem="0"/>
  </dataFields>
  <chartFormats count="6">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1A0111-CDEA-4707-A7E0-A799F4616F0A}" name="PivotTable8" cacheId="133" applyNumberFormats="0" applyBorderFormats="0" applyFontFormats="0" applyPatternFormats="0" applyAlignmentFormats="0" applyWidthHeightFormats="1" dataCaption="Values" tag="2ec957cb-a545-40ca-a0b5-8a5ff47503f4"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Total_Amount].&amp;[1.14796E3]"/>
      </members>
    </pivotHierarchy>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898923-D088-44F4-9CC3-6285B7DE4BBE}" name="PivotTable7" cacheId="63" applyNumberFormats="0" applyBorderFormats="0" applyFontFormats="0" applyPatternFormats="0" applyAlignmentFormats="0" applyWidthHeightFormats="1" dataCaption="Values" tag="8785163f-0026-4a57-8faa-5dda992253f5" updatedVersion="8" minRefreshableVersion="3" useAutoFormatting="1" subtotalHiddenItems="1" itemPrintTitles="1" createdVersion="5" indent="0" outline="1" outlineData="1" multipleFieldFilters="0" chartFormat="6">
  <location ref="B3:C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Amount" fld="1"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8"/>
          </reference>
        </references>
      </pivotArea>
    </chartFormat>
    <chartFormat chart="0" format="2">
      <pivotArea type="data" outline="0" fieldPosition="0">
        <references count="2">
          <reference field="4294967294" count="1" selected="0">
            <x v="0"/>
          </reference>
          <reference field="0" count="1" selected="0">
            <x v="9"/>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5" format="44" series="1">
      <pivotArea type="data" outline="0" fieldPosition="0">
        <references count="1">
          <reference field="4294967294" count="1" selected="0">
            <x v="0"/>
          </reference>
        </references>
      </pivotArea>
    </chartFormat>
    <chartFormat chart="5" format="45">
      <pivotArea type="data" outline="0" fieldPosition="0">
        <references count="2">
          <reference field="4294967294" count="1" selected="0">
            <x v="0"/>
          </reference>
          <reference field="0" count="1" selected="0">
            <x v="0"/>
          </reference>
        </references>
      </pivotArea>
    </chartFormat>
    <chartFormat chart="5" format="46">
      <pivotArea type="data" outline="0" fieldPosition="0">
        <references count="2">
          <reference field="4294967294" count="1" selected="0">
            <x v="0"/>
          </reference>
          <reference field="0" count="1" selected="0">
            <x v="1"/>
          </reference>
        </references>
      </pivotArea>
    </chartFormat>
    <chartFormat chart="5" format="47">
      <pivotArea type="data" outline="0" fieldPosition="0">
        <references count="2">
          <reference field="4294967294" count="1" selected="0">
            <x v="0"/>
          </reference>
          <reference field="0" count="1" selected="0">
            <x v="2"/>
          </reference>
        </references>
      </pivotArea>
    </chartFormat>
    <chartFormat chart="5" format="48">
      <pivotArea type="data" outline="0" fieldPosition="0">
        <references count="2">
          <reference field="4294967294" count="1" selected="0">
            <x v="0"/>
          </reference>
          <reference field="0" count="1" selected="0">
            <x v="3"/>
          </reference>
        </references>
      </pivotArea>
    </chartFormat>
    <chartFormat chart="5" format="49">
      <pivotArea type="data" outline="0" fieldPosition="0">
        <references count="2">
          <reference field="4294967294" count="1" selected="0">
            <x v="0"/>
          </reference>
          <reference field="0" count="1" selected="0">
            <x v="4"/>
          </reference>
        </references>
      </pivotArea>
    </chartFormat>
    <chartFormat chart="5" format="50">
      <pivotArea type="data" outline="0" fieldPosition="0">
        <references count="2">
          <reference field="4294967294" count="1" selected="0">
            <x v="0"/>
          </reference>
          <reference field="0" count="1" selected="0">
            <x v="5"/>
          </reference>
        </references>
      </pivotArea>
    </chartFormat>
    <chartFormat chart="5" format="51">
      <pivotArea type="data" outline="0" fieldPosition="0">
        <references count="2">
          <reference field="4294967294" count="1" selected="0">
            <x v="0"/>
          </reference>
          <reference field="0" count="1" selected="0">
            <x v="6"/>
          </reference>
        </references>
      </pivotArea>
    </chartFormat>
    <chartFormat chart="5" format="52">
      <pivotArea type="data" outline="0" fieldPosition="0">
        <references count="2">
          <reference field="4294967294" count="1" selected="0">
            <x v="0"/>
          </reference>
          <reference field="0" count="1" selected="0">
            <x v="7"/>
          </reference>
        </references>
      </pivotArea>
    </chartFormat>
    <chartFormat chart="5" format="53">
      <pivotArea type="data" outline="0" fieldPosition="0">
        <references count="2">
          <reference field="4294967294" count="1" selected="0">
            <x v="0"/>
          </reference>
          <reference field="0" count="1" selected="0">
            <x v="8"/>
          </reference>
        </references>
      </pivotArea>
    </chartFormat>
    <chartFormat chart="5" format="54">
      <pivotArea type="data" outline="0" fieldPosition="0">
        <references count="2">
          <reference field="4294967294" count="1" selected="0">
            <x v="0"/>
          </reference>
          <reference field="0" count="1" selected="0">
            <x v="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98B7C315-ACFC-47D3-91F7-8C1A082DEA21}" sourceName="[Table1].[Supplier_Name]">
  <pivotTables>
    <pivotTable tabId="13" name="PivotTable8"/>
    <pivotTable tabId="10" name="PivotTable5"/>
    <pivotTable tabId="11" name="PivotTable6"/>
    <pivotTable tabId="7" name="PivotTable2"/>
    <pivotTable tabId="8" name="PivotTable3"/>
    <pivotTable tabId="9" name="PivotTable4"/>
  </pivotTables>
  <data>
    <olap pivotCacheId="1643622600">
      <levels count="2">
        <level uniqueName="[Table1].[Supplier_Name].[(All)]" sourceCaption="(All)" count="0"/>
        <level uniqueName="[Table1].[Supplier_Name].[Supplier_Name]" sourceCaption="Supplier_Name" count="10">
          <ranges>
            <range startItem="0">
              <i n="[Table1].[Supplier_Name].&amp;[City Suppliers]" c="City Suppliers"/>
              <i n="[Table1].[Supplier_Name].&amp;[Digital World]" c="Digital World"/>
              <i n="[Table1].[Supplier_Name].&amp;[Elite Tech]" c="Elite Tech"/>
              <i n="[Table1].[Supplier_Name].&amp;[Future Tech]" c="Future Tech"/>
              <i n="[Table1].[Supplier_Name].&amp;[Global Electronics]" c="Global Electronics"/>
              <i n="[Table1].[Supplier_Name].&amp;[Mega Retail Supply]" c="Mega Retail Supply"/>
              <i n="[Table1].[Supplier_Name].&amp;[NextGen Devices]" c="NextGen Devices"/>
              <i n="[Table1].[Supplier_Name].&amp;[Prime Gadgets]" c="Prime Gadgets"/>
              <i n="[Table1].[Supplier_Name].&amp;[Smart Electronics]" c="Smart Electronics"/>
              <i n="[Table1].[Supplier_Name].&amp;[Tech Distributors]" c="Tech Distributors"/>
            </range>
          </ranges>
        </level>
      </levels>
      <selections count="1">
        <selection n="[Table1].[Suppli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9E01AAC-6254-41E8-A730-0C79E71C1A2F}" sourceName="[Table3].[Product_Name]">
  <pivotTables>
    <pivotTable tabId="13" name="PivotTable8"/>
    <pivotTable tabId="10" name="PivotTable5"/>
    <pivotTable tabId="11" name="PivotTable6"/>
    <pivotTable tabId="12" name="PivotTable7"/>
    <pivotTable tabId="7" name="PivotTable2"/>
    <pivotTable tabId="8" name="PivotTable3"/>
    <pivotTable tabId="9" name="PivotTable4"/>
  </pivotTables>
  <data>
    <olap pivotCacheId="1643622600">
      <levels count="2">
        <level uniqueName="[Table3].[Product_Name].[(All)]" sourceCaption="(All)" count="0"/>
        <level uniqueName="[Table3].[Product_Name].[Product_Name]" sourceCaption="Product_Name" count="30">
          <ranges>
            <range startItem="0">
              <i n="[Table3].[Product_Name].&amp;[Camera 10]" c="Camera 10"/>
              <i n="[Table3].[Product_Name].&amp;[Camera 14]" c="Camera 14"/>
              <i n="[Table3].[Product_Name].&amp;[Camera 6]" c="Camera 6"/>
              <i n="[Table3].[Product_Name].&amp;[Headphones 1]" c="Headphones 1"/>
              <i n="[Table3].[Product_Name].&amp;[Headphones 2]" c="Headphones 2"/>
              <i n="[Table3].[Product_Name].&amp;[Headphones 7]" c="Headphones 7"/>
              <i n="[Table3].[Product_Name].&amp;[Headphones 9]" c="Headphones 9"/>
              <i n="[Table3].[Product_Name].&amp;[Keyboard 20]" c="Keyboard 20"/>
              <i n="[Table3].[Product_Name].&amp;[Laptop 8]" c="Laptop 8"/>
              <i n="[Table3].[Product_Name].&amp;[Microwave 18]" c="Microwave 18"/>
              <i n="[Table3].[Product_Name].&amp;[Microwave 23]" c="Microwave 23"/>
              <i n="[Table3].[Product_Name].&amp;[Mixer 17]" c="Mixer 17"/>
              <i n="[Table3].[Product_Name].&amp;[Mixer 22]" c="Mixer 22"/>
              <i n="[Table3].[Product_Name].&amp;[Mixer 27]" c="Mixer 27"/>
              <i n="[Table3].[Product_Name].&amp;[Monitor 21]" c="Monitor 21"/>
              <i n="[Table3].[Product_Name].&amp;[Monitor 30]" c="Monitor 30"/>
              <i n="[Table3].[Product_Name].&amp;[Monitor 4]" c="Monitor 4"/>
              <i n="[Table3].[Product_Name].&amp;[Mouse 12]" c="Mouse 12"/>
              <i n="[Table3].[Product_Name].&amp;[Mouse 19]" c="Mouse 19"/>
              <i n="[Table3].[Product_Name].&amp;[Power Bank 16]" c="Power Bank 16"/>
              <i n="[Table3].[Product_Name].&amp;[Printer 13]" c="Printer 13"/>
              <i n="[Table3].[Product_Name].&amp;[Printer 25]" c="Printer 25"/>
              <i n="[Table3].[Product_Name].&amp;[Printer 29]" c="Printer 29"/>
              <i n="[Table3].[Product_Name].&amp;[Router 26]" c="Router 26"/>
              <i n="[Table3].[Product_Name].&amp;[Router 28]" c="Router 28"/>
              <i n="[Table3].[Product_Name].&amp;[Smart Watch 3]" c="Smart Watch 3"/>
              <i n="[Table3].[Product_Name].&amp;[Smartphone 11]" c="Smartphone 11"/>
              <i n="[Table3].[Product_Name].&amp;[Smartphone 5]" c="Smartphone 5"/>
              <i n="[Table3].[Product_Name].&amp;[Tablet 15]" c="Tablet 15"/>
              <i n="[Table3].[Product_Name].&amp;[Tablet 24]" c="Tablet 24"/>
            </range>
          </ranges>
        </level>
      </levels>
      <selections count="1">
        <selection n="[Table3].[Produc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A274BD-C332-4D30-90AD-57FC73013640}" sourceName="[Table3].[Category]">
  <pivotTables>
    <pivotTable tabId="13" name="PivotTable8"/>
    <pivotTable tabId="10" name="PivotTable5"/>
    <pivotTable tabId="11" name="PivotTable6"/>
    <pivotTable tabId="12" name="PivotTable7"/>
    <pivotTable tabId="7" name="PivotTable2"/>
    <pivotTable tabId="8" name="PivotTable3"/>
    <pivotTable tabId="9" name="PivotTable4"/>
  </pivotTables>
  <data>
    <olap pivotCacheId="1643622600">
      <levels count="2">
        <level uniqueName="[Table3].[Category].[(All)]" sourceCaption="(All)" count="0"/>
        <level uniqueName="[Table3].[Category].[Category]" sourceCaption="Category" count="3">
          <ranges>
            <range startItem="0">
              <i n="[Table3].[Category].&amp;[Accessories]" c="Accessories"/>
              <i n="[Table3].[Category].&amp;[Electronics]" c="Electronics"/>
              <i n="[Table3].[Category].&amp;[Home Appliances]" c="Home Appliances"/>
            </range>
          </ranges>
        </level>
      </levels>
      <selections count="1">
        <selection n="[Table3].[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A7F1A1-E4F6-4CEC-BFBD-132D68549BC0}" sourceName="[Table4].[Gender]">
  <pivotTables>
    <pivotTable tabId="13" name="PivotTable8"/>
    <pivotTable tabId="10" name="PivotTable5"/>
    <pivotTable tabId="11" name="PivotTable6"/>
    <pivotTable tabId="12" name="PivotTable7"/>
    <pivotTable tabId="7" name="PivotTable2"/>
    <pivotTable tabId="8" name="PivotTable3"/>
    <pivotTable tabId="9" name="PivotTable4"/>
  </pivotTables>
  <data>
    <olap pivotCacheId="1643622600">
      <levels count="2">
        <level uniqueName="[Table4].[Gender].[(All)]" sourceCaption="(All)" count="0"/>
        <level uniqueName="[Table4].[Gender].[Gender]" sourceCaption="Gender" count="2">
          <ranges>
            <range startItem="0">
              <i n="[Table4].[Gender].&amp;[Female]" c="Female"/>
              <i n="[Table4].[Gender].&amp;[Male]" c="Male"/>
            </range>
          </ranges>
        </level>
      </levels>
      <selections count="1">
        <selection n="[Table4].[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5A1128-B41C-45E8-B9D4-CC5AF11C7548}" sourceName="[Table5].[Month]">
  <pivotTables>
    <pivotTable tabId="13" name="PivotTable8"/>
    <pivotTable tabId="10" name="PivotTable5"/>
    <pivotTable tabId="11" name="PivotTable6"/>
    <pivotTable tabId="12" name="PivotTable7"/>
    <pivotTable tabId="7" name="PivotTable2"/>
    <pivotTable tabId="8" name="PivotTable3"/>
    <pivotTable tabId="9" name="PivotTable4"/>
  </pivotTables>
  <data>
    <olap pivotCacheId="1643622600">
      <levels count="2">
        <level uniqueName="[Table5].[Month].[(All)]" sourceCaption="(All)" count="0"/>
        <level uniqueName="[Table5].[Month].[Month]" sourceCaption="Month" count="12">
          <ranges>
            <range startItem="0">
              <i n="[Table5].[Month].&amp;[April]" c="April"/>
              <i n="[Table5].[Month].&amp;[August]" c="August"/>
              <i n="[Table5].[Month].&amp;[December]" c="December"/>
              <i n="[Table5].[Month].&amp;[February]" c="February"/>
              <i n="[Table5].[Month].&amp;[January]" c="January"/>
              <i n="[Table5].[Month].&amp;[July]" c="July"/>
              <i n="[Table5].[Month].&amp;[June]" c="June"/>
              <i n="[Table5].[Month].&amp;[March]" c="March"/>
              <i n="[Table5].[Month].&amp;[May]" c="May"/>
              <i n="[Table5].[Month].&amp;[November]" c="November"/>
              <i n="[Table5].[Month].&amp;[October]" c="October"/>
              <i n="[Table5].[Month].&amp;[September]" c="September"/>
            </range>
          </ranges>
        </level>
      </levels>
      <selections count="1">
        <selection n="[Table5].[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9B82CF1-D73F-4142-971F-B4066C67E1EF}" sourceName="Gender">
  <pivotTables>
    <pivotTable tabId="14" name="PivotTable2"/>
  </pivotTables>
  <data>
    <tabular pivotCacheId="8998874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5170672-264E-4C90-82B3-F824D840AE9E}"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xr10:uid="{5CB9A758-5202-4B1C-826D-19B895C4119D}" cache="Slicer_Supplier_Name" caption="Supplier_Name" level="1" rowHeight="234950"/>
  <slicer name="Product_Name" xr10:uid="{B978A402-2842-4A22-BDE6-CB6415AA0E82}" cache="Slicer_Product_Name" caption="Product_Name" level="1" rowHeight="234950"/>
  <slicer name="Category" xr10:uid="{3F363EEB-C7EC-437C-97CC-28F75D1D649E}" cache="Slicer_Category" caption="Category" level="1" rowHeight="234950"/>
  <slicer name="Gender" xr10:uid="{1B1299F6-26EE-43D1-AACF-E8FE4D425006}" cache="Slicer_Gender" caption="Gender" level="1" rowHeight="234950"/>
  <slicer name="Month" xr10:uid="{56DBD907-53E1-466F-BA53-D6F0D70D449D}" cache="Slicer_Month" caption="Month"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1" xr10:uid="{3DB49B14-4921-402F-B54F-FC3DA09B64AE}" cache="Slicer_Supplier_Name" caption="Supplier_Name" level="1" rowHeight="234950"/>
  <slicer name="Product_Name 1" xr10:uid="{EB6A32D3-81B5-4134-87C4-47DA39D7D9C5}" cache="Slicer_Product_Name" caption="Product_Name" level="1" rowHeight="234950"/>
  <slicer name="Month 1" xr10:uid="{0A499D21-C42A-4058-A924-B7BF7DDAFFB0}" cache="Slicer_Month" caption="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C40B8E-6721-4C89-9C94-BFBD59C8517E}" name="suppliers" displayName="suppliers" ref="A1:D11" totalsRowShown="0" headerRowDxfId="20" headerRowBorderDxfId="19" tableBorderDxfId="18" totalsRowBorderDxfId="17">
  <autoFilter ref="A1:D11" xr:uid="{B0C40B8E-6721-4C89-9C94-BFBD59C8517E}"/>
  <tableColumns count="4">
    <tableColumn id="1" xr3:uid="{171341D3-6031-49E3-A376-550F9496262E}" name="Supplier_ID" dataDxfId="16"/>
    <tableColumn id="2" xr3:uid="{12C120BB-B6F9-42AA-8C56-257FCEFC2A48}" name="Supplier_Name" dataDxfId="15"/>
    <tableColumn id="3" xr3:uid="{3036772E-6829-429B-9C93-8EA17BD6C10E}" name="City" dataDxfId="14"/>
    <tableColumn id="4" xr3:uid="{4451D3E7-E785-46FC-9912-CE297342F336}" name="Contact_No"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878AF-EA9E-4CCF-B021-ABE3678CE973}" name="stores" displayName="stores" ref="A1:D9" totalsRowShown="0" headerRowDxfId="12" headerRowBorderDxfId="11" tableBorderDxfId="10" totalsRowBorderDxfId="9">
  <autoFilter ref="A1:D9" xr:uid="{0DA878AF-EA9E-4CCF-B021-ABE3678CE973}"/>
  <tableColumns count="4">
    <tableColumn id="1" xr3:uid="{36123C16-9126-46CB-8275-641417A91586}" name="Store_ID" dataDxfId="8"/>
    <tableColumn id="2" xr3:uid="{1B8F80D0-5862-4B32-9223-69284C6B25FF}" name="Store_Name" dataDxfId="7"/>
    <tableColumn id="3" xr3:uid="{6376D93E-0302-4613-93F2-0A37D89B5F69}" name="City" dataDxfId="6"/>
    <tableColumn id="4" xr3:uid="{154B1262-9478-4ACF-938D-F368B06D2CD7}" name="Region"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31CC90-8CA3-499A-95E2-67838CBEBA34}" name="products" displayName="products" ref="A1:E31" totalsRowShown="0">
  <autoFilter ref="A1:E31" xr:uid="{0431CC90-8CA3-499A-95E2-67838CBEBA34}"/>
  <tableColumns count="5">
    <tableColumn id="1" xr3:uid="{14F767E4-42DB-46EB-8BCE-F67600DD3671}" name="Product_ID"/>
    <tableColumn id="2" xr3:uid="{A4D381EF-DBB1-4F0E-98BB-FE625AE4F36A}" name="Product_Name"/>
    <tableColumn id="3" xr3:uid="{6A3936F2-6710-46A6-BA2C-F54E1597C5D4}" name="Category"/>
    <tableColumn id="4" xr3:uid="{E1F02667-3D0C-49AB-99E2-7772CB99E881}" name="Unit_Price"/>
    <tableColumn id="5" xr3:uid="{27ACA082-0C54-493D-99EF-E6FFBE41DF86}" name="Supplier_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5068A7-9593-4947-8419-E196750E0032}" name="customers" displayName="customers" ref="A1:G201" totalsRowShown="0">
  <autoFilter ref="A1:G201" xr:uid="{155068A7-9593-4947-8419-E196750E0032}"/>
  <tableColumns count="7">
    <tableColumn id="1" xr3:uid="{CD74ED46-F65F-4E22-B87A-3A3E6DC5940E}" name="Customer_ID"/>
    <tableColumn id="2" xr3:uid="{3CA363F6-6E83-4439-83C1-F3613426379B}" name="Customer_Name"/>
    <tableColumn id="3" xr3:uid="{A5589109-55DB-4E3F-8BB5-5644D5E25B96}" name="Gender"/>
    <tableColumn id="4" xr3:uid="{91877737-2C78-45A3-8DA1-673DCD1DACF3}" name="Age"/>
    <tableColumn id="5" xr3:uid="{EB635F17-F48F-477F-ADA2-6817C43BFB26}" name="City"/>
    <tableColumn id="6" xr3:uid="{37E67D56-5C0F-4E7D-B082-96FF97FBFCA0}" name="Store_ID"/>
    <tableColumn id="7" xr3:uid="{F38F8C81-49CA-41A6-ABC6-CBDFA6605A6B}" name="Join_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A70BEA-AC5E-4DE7-988A-03F85C1D13B4}" name="sales" displayName="sales" ref="A1:N501" totalsRowShown="0">
  <autoFilter ref="A1:N501" xr:uid="{91A70BEA-AC5E-4DE7-988A-03F85C1D13B4}"/>
  <tableColumns count="14">
    <tableColumn id="1" xr3:uid="{FD36DDA4-BE24-4DA3-9B88-E549B51FD5BD}" name="Sale_ID"/>
    <tableColumn id="2" xr3:uid="{AB4889D7-003D-43D7-9123-F316EDDDA735}" name="Customer_ID"/>
    <tableColumn id="3" xr3:uid="{5FAC7232-9686-4C59-9050-96D30B11D04D}" name="Product_ID"/>
    <tableColumn id="4" xr3:uid="{AE13457E-4ADA-4DF3-83F0-BFE7C34C9FA1}" name="Store_ID"/>
    <tableColumn id="5" xr3:uid="{862787AE-BBC3-4EEF-BA56-F37426B7BFE0}" name="Sale_Date"/>
    <tableColumn id="6" xr3:uid="{9167B8B0-E687-49FD-8961-2781A62401E6}" name="Quantity"/>
    <tableColumn id="7" xr3:uid="{99DEEE25-0691-4F76-8D4E-567BFA8CDD26}" name="Total_Amount"/>
    <tableColumn id="8" xr3:uid="{B14EA7C5-0FA6-4FC4-9F62-42B20562A15D}" name="Month"/>
    <tableColumn id="9" xr3:uid="{97F584ED-80F3-4D80-973C-D4020416EC70}" name="Year"/>
    <tableColumn id="10" xr3:uid="{D882C039-74D0-48BE-9920-A02F2997F5DA}" name="product name" dataDxfId="4">
      <calculatedColumnFormula>_xlfn.XLOOKUP(sales[[#This Row],[Product_ID]],products[Product_ID],products[Product_Name])</calculatedColumnFormula>
    </tableColumn>
    <tableColumn id="11" xr3:uid="{ED9D22A3-DDE7-44F6-9FD3-49AEAC100092}" name="store name" dataDxfId="3">
      <calculatedColumnFormula>_xlfn.XLOOKUP(sales[[#This Row],[Store_ID]],stores[Store_ID],stores[Store_Name])</calculatedColumnFormula>
    </tableColumn>
    <tableColumn id="12" xr3:uid="{DBF71680-A3FD-4C67-B66B-1A7E6F253ED2}" name="customer name" dataDxfId="2">
      <calculatedColumnFormula>_xlfn.XLOOKUP(sales[[#This Row],[Customer_ID]],customers[Customer_ID],customers[Customer_Name])</calculatedColumnFormula>
    </tableColumn>
    <tableColumn id="13" xr3:uid="{B6A39C4A-0A26-42FA-B594-4ABA85D029C6}" name="sales category" dataDxfId="1">
      <calculatedColumnFormula>IF(sales[[#This Row],[Total_Amount]]&gt;=50000,"High Sales","Low Sales")</calculatedColumnFormula>
    </tableColumn>
    <tableColumn id="14" xr3:uid="{9E8789AA-25E3-4997-88B2-1F09A1AB2ED1}" name="average selling price" dataDxfId="0">
      <calculatedColumnFormula>sales[[#This Row],[Total_Amount]]/sales[[#This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0B2B-5335-407B-A067-D1FBCB5B8679}">
  <dimension ref="A1:D11"/>
  <sheetViews>
    <sheetView tabSelected="1" workbookViewId="0">
      <selection activeCell="M13" sqref="M13"/>
    </sheetView>
  </sheetViews>
  <sheetFormatPr defaultRowHeight="14.4" x14ac:dyDescent="0.3"/>
  <cols>
    <col min="1" max="1" width="18" customWidth="1"/>
    <col min="2" max="2" width="22.21875" customWidth="1"/>
    <col min="3" max="3" width="20.109375" customWidth="1"/>
    <col min="4" max="4" width="20.44140625" customWidth="1"/>
  </cols>
  <sheetData>
    <row r="1" spans="1:4" x14ac:dyDescent="0.3">
      <c r="A1" s="10" t="s">
        <v>0</v>
      </c>
      <c r="B1" s="11" t="s">
        <v>1</v>
      </c>
      <c r="C1" s="11" t="s">
        <v>2</v>
      </c>
      <c r="D1" s="12" t="s">
        <v>3</v>
      </c>
    </row>
    <row r="2" spans="1:4" x14ac:dyDescent="0.3">
      <c r="A2" s="4" t="s">
        <v>4</v>
      </c>
      <c r="B2" s="5" t="s">
        <v>5</v>
      </c>
      <c r="C2" s="5" t="s">
        <v>6</v>
      </c>
      <c r="D2" s="6" t="s">
        <v>7</v>
      </c>
    </row>
    <row r="3" spans="1:4" x14ac:dyDescent="0.3">
      <c r="A3" s="1" t="s">
        <v>8</v>
      </c>
      <c r="B3" s="2" t="s">
        <v>9</v>
      </c>
      <c r="C3" s="2" t="s">
        <v>10</v>
      </c>
      <c r="D3" s="3" t="s">
        <v>11</v>
      </c>
    </row>
    <row r="4" spans="1:4" x14ac:dyDescent="0.3">
      <c r="A4" s="4" t="s">
        <v>12</v>
      </c>
      <c r="B4" s="5" t="s">
        <v>13</v>
      </c>
      <c r="C4" s="5" t="s">
        <v>14</v>
      </c>
      <c r="D4" s="6" t="s">
        <v>15</v>
      </c>
    </row>
    <row r="5" spans="1:4" x14ac:dyDescent="0.3">
      <c r="A5" s="1" t="s">
        <v>16</v>
      </c>
      <c r="B5" s="2" t="s">
        <v>17</v>
      </c>
      <c r="C5" s="2" t="s">
        <v>18</v>
      </c>
      <c r="D5" s="3" t="s">
        <v>19</v>
      </c>
    </row>
    <row r="6" spans="1:4" x14ac:dyDescent="0.3">
      <c r="A6" s="4" t="s">
        <v>20</v>
      </c>
      <c r="B6" s="5" t="s">
        <v>21</v>
      </c>
      <c r="C6" s="5" t="s">
        <v>10</v>
      </c>
      <c r="D6" s="6" t="s">
        <v>22</v>
      </c>
    </row>
    <row r="7" spans="1:4" x14ac:dyDescent="0.3">
      <c r="A7" s="1" t="s">
        <v>23</v>
      </c>
      <c r="B7" s="2" t="s">
        <v>24</v>
      </c>
      <c r="C7" s="2" t="s">
        <v>18</v>
      </c>
      <c r="D7" s="3" t="s">
        <v>25</v>
      </c>
    </row>
    <row r="8" spans="1:4" x14ac:dyDescent="0.3">
      <c r="A8" s="4" t="s">
        <v>26</v>
      </c>
      <c r="B8" s="5" t="s">
        <v>27</v>
      </c>
      <c r="C8" s="5" t="s">
        <v>10</v>
      </c>
      <c r="D8" s="6" t="s">
        <v>28</v>
      </c>
    </row>
    <row r="9" spans="1:4" x14ac:dyDescent="0.3">
      <c r="A9" s="1" t="s">
        <v>29</v>
      </c>
      <c r="B9" s="2" t="s">
        <v>30</v>
      </c>
      <c r="C9" s="2" t="s">
        <v>31</v>
      </c>
      <c r="D9" s="3" t="s">
        <v>32</v>
      </c>
    </row>
    <row r="10" spans="1:4" x14ac:dyDescent="0.3">
      <c r="A10" s="4" t="s">
        <v>33</v>
      </c>
      <c r="B10" s="5" t="s">
        <v>34</v>
      </c>
      <c r="C10" s="5" t="s">
        <v>14</v>
      </c>
      <c r="D10" s="6" t="s">
        <v>35</v>
      </c>
    </row>
    <row r="11" spans="1:4" x14ac:dyDescent="0.3">
      <c r="A11" s="7" t="s">
        <v>36</v>
      </c>
      <c r="B11" s="8" t="s">
        <v>37</v>
      </c>
      <c r="C11" s="8" t="s">
        <v>6</v>
      </c>
      <c r="D11" s="9"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C858-D437-4470-80A0-7A70E9800B26}">
  <dimension ref="A3:C20"/>
  <sheetViews>
    <sheetView workbookViewId="0">
      <selection activeCell="R13" sqref="R13"/>
    </sheetView>
  </sheetViews>
  <sheetFormatPr defaultRowHeight="14.4" x14ac:dyDescent="0.3"/>
  <sheetData>
    <row r="3" spans="1:3" x14ac:dyDescent="0.3">
      <c r="A3" s="13"/>
      <c r="B3" s="14"/>
      <c r="C3" s="15"/>
    </row>
    <row r="4" spans="1:3" x14ac:dyDescent="0.3">
      <c r="A4" s="16"/>
      <c r="B4" s="17"/>
      <c r="C4" s="18"/>
    </row>
    <row r="5" spans="1:3" x14ac:dyDescent="0.3">
      <c r="A5" s="16"/>
      <c r="B5" s="17"/>
      <c r="C5" s="18"/>
    </row>
    <row r="6" spans="1:3" x14ac:dyDescent="0.3">
      <c r="A6" s="16"/>
      <c r="B6" s="17"/>
      <c r="C6" s="18"/>
    </row>
    <row r="7" spans="1:3" x14ac:dyDescent="0.3">
      <c r="A7" s="16"/>
      <c r="B7" s="17"/>
      <c r="C7" s="18"/>
    </row>
    <row r="8" spans="1:3" x14ac:dyDescent="0.3">
      <c r="A8" s="16"/>
      <c r="B8" s="17"/>
      <c r="C8" s="18"/>
    </row>
    <row r="9" spans="1:3" x14ac:dyDescent="0.3">
      <c r="A9" s="16"/>
      <c r="B9" s="17"/>
      <c r="C9" s="18"/>
    </row>
    <row r="10" spans="1:3" x14ac:dyDescent="0.3">
      <c r="A10" s="16"/>
      <c r="B10" s="17"/>
      <c r="C10" s="18"/>
    </row>
    <row r="11" spans="1:3" x14ac:dyDescent="0.3">
      <c r="A11" s="16"/>
      <c r="B11" s="17"/>
      <c r="C11" s="18"/>
    </row>
    <row r="12" spans="1:3" x14ac:dyDescent="0.3">
      <c r="A12" s="16"/>
      <c r="B12" s="17"/>
      <c r="C12" s="18"/>
    </row>
    <row r="13" spans="1:3" x14ac:dyDescent="0.3">
      <c r="A13" s="16"/>
      <c r="B13" s="17"/>
      <c r="C13" s="18"/>
    </row>
    <row r="14" spans="1:3" x14ac:dyDescent="0.3">
      <c r="A14" s="16"/>
      <c r="B14" s="17"/>
      <c r="C14" s="18"/>
    </row>
    <row r="15" spans="1:3" x14ac:dyDescent="0.3">
      <c r="A15" s="16"/>
      <c r="B15" s="17"/>
      <c r="C15" s="18"/>
    </row>
    <row r="16" spans="1:3" x14ac:dyDescent="0.3">
      <c r="A16" s="16"/>
      <c r="B16" s="17"/>
      <c r="C16" s="18"/>
    </row>
    <row r="17" spans="1:3" x14ac:dyDescent="0.3">
      <c r="A17" s="16"/>
      <c r="B17" s="17"/>
      <c r="C17" s="18"/>
    </row>
    <row r="18" spans="1:3" x14ac:dyDescent="0.3">
      <c r="A18" s="16"/>
      <c r="B18" s="17"/>
      <c r="C18" s="18"/>
    </row>
    <row r="19" spans="1:3" x14ac:dyDescent="0.3">
      <c r="A19" s="16"/>
      <c r="B19" s="17"/>
      <c r="C19" s="18"/>
    </row>
    <row r="20" spans="1:3" x14ac:dyDescent="0.3">
      <c r="A20" s="19"/>
      <c r="B20" s="20"/>
      <c r="C2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A71F-B82D-4ABB-8C99-79A2E2380639}">
  <dimension ref="A1:D9"/>
  <sheetViews>
    <sheetView workbookViewId="0">
      <selection sqref="A1:D9"/>
    </sheetView>
  </sheetViews>
  <sheetFormatPr defaultRowHeight="14.4" x14ac:dyDescent="0.3"/>
  <cols>
    <col min="1" max="1" width="15.5546875" customWidth="1"/>
    <col min="2" max="2" width="22.109375" customWidth="1"/>
    <col min="3" max="3" width="16.6640625" customWidth="1"/>
    <col min="4" max="4" width="17.44140625" customWidth="1"/>
  </cols>
  <sheetData>
    <row r="1" spans="1:4" x14ac:dyDescent="0.3">
      <c r="A1" s="10" t="s">
        <v>39</v>
      </c>
      <c r="B1" s="11" t="s">
        <v>40</v>
      </c>
      <c r="C1" s="11" t="s">
        <v>2</v>
      </c>
      <c r="D1" s="12" t="s">
        <v>41</v>
      </c>
    </row>
    <row r="2" spans="1:4" x14ac:dyDescent="0.3">
      <c r="A2" s="4" t="s">
        <v>42</v>
      </c>
      <c r="B2" s="5" t="s">
        <v>43</v>
      </c>
      <c r="C2" s="5" t="s">
        <v>44</v>
      </c>
      <c r="D2" s="6" t="s">
        <v>45</v>
      </c>
    </row>
    <row r="3" spans="1:4" x14ac:dyDescent="0.3">
      <c r="A3" s="1" t="s">
        <v>46</v>
      </c>
      <c r="B3" s="2" t="s">
        <v>47</v>
      </c>
      <c r="C3" s="2" t="s">
        <v>10</v>
      </c>
      <c r="D3" s="3" t="s">
        <v>45</v>
      </c>
    </row>
    <row r="4" spans="1:4" x14ac:dyDescent="0.3">
      <c r="A4" s="4" t="s">
        <v>48</v>
      </c>
      <c r="B4" s="5" t="s">
        <v>49</v>
      </c>
      <c r="C4" s="5" t="s">
        <v>18</v>
      </c>
      <c r="D4" s="6" t="s">
        <v>45</v>
      </c>
    </row>
    <row r="5" spans="1:4" x14ac:dyDescent="0.3">
      <c r="A5" s="1" t="s">
        <v>50</v>
      </c>
      <c r="B5" s="2" t="s">
        <v>51</v>
      </c>
      <c r="C5" s="2" t="s">
        <v>31</v>
      </c>
      <c r="D5" s="3" t="s">
        <v>52</v>
      </c>
    </row>
    <row r="6" spans="1:4" x14ac:dyDescent="0.3">
      <c r="A6" s="4" t="s">
        <v>53</v>
      </c>
      <c r="B6" s="5" t="s">
        <v>54</v>
      </c>
      <c r="C6" s="5" t="s">
        <v>55</v>
      </c>
      <c r="D6" s="6" t="s">
        <v>56</v>
      </c>
    </row>
    <row r="7" spans="1:4" x14ac:dyDescent="0.3">
      <c r="A7" s="1" t="s">
        <v>57</v>
      </c>
      <c r="B7" s="2" t="s">
        <v>58</v>
      </c>
      <c r="C7" s="2" t="s">
        <v>14</v>
      </c>
      <c r="D7" s="3" t="s">
        <v>52</v>
      </c>
    </row>
    <row r="8" spans="1:4" x14ac:dyDescent="0.3">
      <c r="A8" s="4" t="s">
        <v>59</v>
      </c>
      <c r="B8" s="5" t="s">
        <v>60</v>
      </c>
      <c r="C8" s="5" t="s">
        <v>61</v>
      </c>
      <c r="D8" s="6" t="s">
        <v>52</v>
      </c>
    </row>
    <row r="9" spans="1:4" x14ac:dyDescent="0.3">
      <c r="A9" s="7" t="s">
        <v>62</v>
      </c>
      <c r="B9" s="8" t="s">
        <v>63</v>
      </c>
      <c r="C9" s="8" t="s">
        <v>6</v>
      </c>
      <c r="D9" s="9" t="s">
        <v>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8CD9-B204-4F17-BCB5-BC74628BDA1C}">
  <dimension ref="A1:E31"/>
  <sheetViews>
    <sheetView topLeftCell="A7" workbookViewId="0">
      <selection activeCell="B29" sqref="B29"/>
    </sheetView>
  </sheetViews>
  <sheetFormatPr defaultRowHeight="14.4" x14ac:dyDescent="0.3"/>
  <cols>
    <col min="1" max="1" width="17.77734375" customWidth="1"/>
    <col min="2" max="2" width="19.77734375" customWidth="1"/>
    <col min="3" max="3" width="19.88671875" customWidth="1"/>
    <col min="4" max="4" width="17.77734375" customWidth="1"/>
    <col min="5" max="5" width="17.88671875" customWidth="1"/>
  </cols>
  <sheetData>
    <row r="1" spans="1:5" x14ac:dyDescent="0.3">
      <c r="A1" t="s">
        <v>65</v>
      </c>
      <c r="B1" t="s">
        <v>66</v>
      </c>
      <c r="C1" t="s">
        <v>67</v>
      </c>
      <c r="D1" t="s">
        <v>68</v>
      </c>
      <c r="E1" t="s">
        <v>0</v>
      </c>
    </row>
    <row r="2" spans="1:5" x14ac:dyDescent="0.3">
      <c r="A2" t="s">
        <v>69</v>
      </c>
      <c r="B2" t="s">
        <v>70</v>
      </c>
      <c r="C2" t="s">
        <v>71</v>
      </c>
      <c r="D2">
        <v>42098.62</v>
      </c>
      <c r="E2" t="s">
        <v>12</v>
      </c>
    </row>
    <row r="3" spans="1:5" x14ac:dyDescent="0.3">
      <c r="A3" t="s">
        <v>72</v>
      </c>
      <c r="B3" t="s">
        <v>73</v>
      </c>
      <c r="C3" t="s">
        <v>74</v>
      </c>
      <c r="D3">
        <v>8852.99</v>
      </c>
      <c r="E3" t="s">
        <v>36</v>
      </c>
    </row>
    <row r="4" spans="1:5" x14ac:dyDescent="0.3">
      <c r="A4" t="s">
        <v>75</v>
      </c>
      <c r="B4" t="s">
        <v>76</v>
      </c>
      <c r="C4" t="s">
        <v>74</v>
      </c>
      <c r="D4">
        <v>35218.559999999998</v>
      </c>
      <c r="E4" t="s">
        <v>4</v>
      </c>
    </row>
    <row r="5" spans="1:5" x14ac:dyDescent="0.3">
      <c r="A5" t="s">
        <v>77</v>
      </c>
      <c r="B5" t="s">
        <v>78</v>
      </c>
      <c r="C5" t="s">
        <v>74</v>
      </c>
      <c r="D5">
        <v>64512.31</v>
      </c>
      <c r="E5" t="s">
        <v>29</v>
      </c>
    </row>
    <row r="6" spans="1:5" x14ac:dyDescent="0.3">
      <c r="A6" t="s">
        <v>79</v>
      </c>
      <c r="B6" t="s">
        <v>80</v>
      </c>
      <c r="C6" t="s">
        <v>74</v>
      </c>
      <c r="D6">
        <v>35358.949999999997</v>
      </c>
      <c r="E6" t="s">
        <v>4</v>
      </c>
    </row>
    <row r="7" spans="1:5" x14ac:dyDescent="0.3">
      <c r="A7" t="s">
        <v>81</v>
      </c>
      <c r="B7" t="s">
        <v>82</v>
      </c>
      <c r="C7" t="s">
        <v>83</v>
      </c>
      <c r="D7">
        <v>2050.1999999999998</v>
      </c>
      <c r="E7" t="s">
        <v>36</v>
      </c>
    </row>
    <row r="8" spans="1:5" x14ac:dyDescent="0.3">
      <c r="A8" t="s">
        <v>84</v>
      </c>
      <c r="B8" t="s">
        <v>85</v>
      </c>
      <c r="C8" t="s">
        <v>71</v>
      </c>
      <c r="D8">
        <v>25830.93</v>
      </c>
      <c r="E8" t="s">
        <v>33</v>
      </c>
    </row>
    <row r="9" spans="1:5" x14ac:dyDescent="0.3">
      <c r="A9" t="s">
        <v>86</v>
      </c>
      <c r="B9" t="s">
        <v>87</v>
      </c>
      <c r="C9" t="s">
        <v>74</v>
      </c>
      <c r="D9">
        <v>18728.23</v>
      </c>
      <c r="E9" t="s">
        <v>33</v>
      </c>
    </row>
    <row r="10" spans="1:5" x14ac:dyDescent="0.3">
      <c r="A10" t="s">
        <v>88</v>
      </c>
      <c r="B10" t="s">
        <v>89</v>
      </c>
      <c r="C10" t="s">
        <v>83</v>
      </c>
      <c r="D10">
        <v>58553.31</v>
      </c>
      <c r="E10" t="s">
        <v>12</v>
      </c>
    </row>
    <row r="11" spans="1:5" x14ac:dyDescent="0.3">
      <c r="A11" t="s">
        <v>90</v>
      </c>
      <c r="B11" t="s">
        <v>91</v>
      </c>
      <c r="C11" t="s">
        <v>71</v>
      </c>
      <c r="D11">
        <v>65436.92</v>
      </c>
      <c r="E11" t="s">
        <v>23</v>
      </c>
    </row>
    <row r="12" spans="1:5" x14ac:dyDescent="0.3">
      <c r="A12" t="s">
        <v>92</v>
      </c>
      <c r="B12" t="s">
        <v>93</v>
      </c>
      <c r="C12" t="s">
        <v>74</v>
      </c>
      <c r="D12">
        <v>78004.87</v>
      </c>
      <c r="E12" t="s">
        <v>26</v>
      </c>
    </row>
    <row r="13" spans="1:5" x14ac:dyDescent="0.3">
      <c r="A13" t="s">
        <v>94</v>
      </c>
      <c r="B13" t="s">
        <v>95</v>
      </c>
      <c r="C13" t="s">
        <v>71</v>
      </c>
      <c r="D13">
        <v>26472.89</v>
      </c>
      <c r="E13" t="s">
        <v>4</v>
      </c>
    </row>
    <row r="14" spans="1:5" x14ac:dyDescent="0.3">
      <c r="A14" t="s">
        <v>96</v>
      </c>
      <c r="B14" t="s">
        <v>97</v>
      </c>
      <c r="C14" t="s">
        <v>83</v>
      </c>
      <c r="D14">
        <v>73330.289999999994</v>
      </c>
      <c r="E14" t="s">
        <v>8</v>
      </c>
    </row>
    <row r="15" spans="1:5" x14ac:dyDescent="0.3">
      <c r="A15" t="s">
        <v>98</v>
      </c>
      <c r="B15" t="s">
        <v>99</v>
      </c>
      <c r="C15" t="s">
        <v>83</v>
      </c>
      <c r="D15">
        <v>95858.23</v>
      </c>
      <c r="E15" t="s">
        <v>33</v>
      </c>
    </row>
    <row r="16" spans="1:5" x14ac:dyDescent="0.3">
      <c r="A16" t="s">
        <v>100</v>
      </c>
      <c r="B16" t="s">
        <v>101</v>
      </c>
      <c r="C16" t="s">
        <v>74</v>
      </c>
      <c r="D16">
        <v>37329.57</v>
      </c>
      <c r="E16" t="s">
        <v>8</v>
      </c>
    </row>
    <row r="17" spans="1:5" x14ac:dyDescent="0.3">
      <c r="A17" t="s">
        <v>102</v>
      </c>
      <c r="B17" t="s">
        <v>103</v>
      </c>
      <c r="C17" t="s">
        <v>83</v>
      </c>
      <c r="D17">
        <v>14667.43</v>
      </c>
      <c r="E17" t="s">
        <v>8</v>
      </c>
    </row>
    <row r="18" spans="1:5" x14ac:dyDescent="0.3">
      <c r="A18" t="s">
        <v>104</v>
      </c>
      <c r="B18" t="s">
        <v>105</v>
      </c>
      <c r="C18" t="s">
        <v>83</v>
      </c>
      <c r="D18">
        <v>8978.77</v>
      </c>
      <c r="E18" t="s">
        <v>16</v>
      </c>
    </row>
    <row r="19" spans="1:5" x14ac:dyDescent="0.3">
      <c r="A19" t="s">
        <v>106</v>
      </c>
      <c r="B19" t="s">
        <v>107</v>
      </c>
      <c r="C19" t="s">
        <v>74</v>
      </c>
      <c r="D19">
        <v>21687.19</v>
      </c>
      <c r="E19" t="s">
        <v>20</v>
      </c>
    </row>
    <row r="20" spans="1:5" x14ac:dyDescent="0.3">
      <c r="A20" t="s">
        <v>108</v>
      </c>
      <c r="B20" t="s">
        <v>109</v>
      </c>
      <c r="C20" t="s">
        <v>74</v>
      </c>
      <c r="D20">
        <v>20345.12</v>
      </c>
      <c r="E20" t="s">
        <v>26</v>
      </c>
    </row>
    <row r="21" spans="1:5" x14ac:dyDescent="0.3">
      <c r="A21" t="s">
        <v>110</v>
      </c>
      <c r="B21" t="s">
        <v>111</v>
      </c>
      <c r="C21" t="s">
        <v>74</v>
      </c>
      <c r="D21">
        <v>43824.19</v>
      </c>
      <c r="E21" t="s">
        <v>26</v>
      </c>
    </row>
    <row r="22" spans="1:5" x14ac:dyDescent="0.3">
      <c r="A22" t="s">
        <v>112</v>
      </c>
      <c r="B22" t="s">
        <v>113</v>
      </c>
      <c r="C22" t="s">
        <v>74</v>
      </c>
      <c r="D22">
        <v>105480.28</v>
      </c>
      <c r="E22" t="s">
        <v>29</v>
      </c>
    </row>
    <row r="23" spans="1:5" x14ac:dyDescent="0.3">
      <c r="A23" t="s">
        <v>114</v>
      </c>
      <c r="B23" t="s">
        <v>115</v>
      </c>
      <c r="C23" t="s">
        <v>71</v>
      </c>
      <c r="D23">
        <v>81763.990000000005</v>
      </c>
      <c r="E23" t="s">
        <v>33</v>
      </c>
    </row>
    <row r="24" spans="1:5" x14ac:dyDescent="0.3">
      <c r="A24" t="s">
        <v>116</v>
      </c>
      <c r="B24" t="s">
        <v>117</v>
      </c>
      <c r="C24" t="s">
        <v>74</v>
      </c>
      <c r="D24">
        <v>76988.31</v>
      </c>
      <c r="E24" t="s">
        <v>29</v>
      </c>
    </row>
    <row r="25" spans="1:5" x14ac:dyDescent="0.3">
      <c r="A25" t="s">
        <v>118</v>
      </c>
      <c r="B25" t="s">
        <v>119</v>
      </c>
      <c r="C25" t="s">
        <v>83</v>
      </c>
      <c r="D25">
        <v>67008.509999999995</v>
      </c>
      <c r="E25" t="s">
        <v>4</v>
      </c>
    </row>
    <row r="26" spans="1:5" x14ac:dyDescent="0.3">
      <c r="A26" t="s">
        <v>120</v>
      </c>
      <c r="B26" t="s">
        <v>121</v>
      </c>
      <c r="C26" t="s">
        <v>74</v>
      </c>
      <c r="D26">
        <v>106956.18</v>
      </c>
      <c r="E26" t="s">
        <v>36</v>
      </c>
    </row>
    <row r="27" spans="1:5" x14ac:dyDescent="0.3">
      <c r="A27" t="s">
        <v>122</v>
      </c>
      <c r="B27" t="s">
        <v>123</v>
      </c>
      <c r="C27" t="s">
        <v>71</v>
      </c>
      <c r="D27">
        <v>32576.03</v>
      </c>
      <c r="E27" t="s">
        <v>33</v>
      </c>
    </row>
    <row r="28" spans="1:5" x14ac:dyDescent="0.3">
      <c r="A28" t="s">
        <v>124</v>
      </c>
      <c r="B28" t="s">
        <v>125</v>
      </c>
      <c r="C28" t="s">
        <v>83</v>
      </c>
      <c r="D28">
        <v>2569.13</v>
      </c>
      <c r="E28" t="s">
        <v>23</v>
      </c>
    </row>
    <row r="29" spans="1:5" x14ac:dyDescent="0.3">
      <c r="A29" t="s">
        <v>126</v>
      </c>
      <c r="B29" t="s">
        <v>127</v>
      </c>
      <c r="C29" t="s">
        <v>83</v>
      </c>
      <c r="D29">
        <v>80562.490000000005</v>
      </c>
      <c r="E29" t="s">
        <v>16</v>
      </c>
    </row>
    <row r="30" spans="1:5" x14ac:dyDescent="0.3">
      <c r="A30" t="s">
        <v>128</v>
      </c>
      <c r="B30" t="s">
        <v>129</v>
      </c>
      <c r="C30" t="s">
        <v>83</v>
      </c>
      <c r="D30">
        <v>79592.73</v>
      </c>
      <c r="E30" t="s">
        <v>8</v>
      </c>
    </row>
    <row r="31" spans="1:5" x14ac:dyDescent="0.3">
      <c r="A31" t="s">
        <v>130</v>
      </c>
      <c r="B31" t="s">
        <v>131</v>
      </c>
      <c r="C31" t="s">
        <v>74</v>
      </c>
      <c r="D31">
        <v>94479.98</v>
      </c>
      <c r="E31"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56A2-573F-443E-AAE0-67C32E189E6F}">
  <dimension ref="A3:C20"/>
  <sheetViews>
    <sheetView workbookViewId="0">
      <selection activeCell="A3" sqref="A3"/>
    </sheetView>
  </sheetViews>
  <sheetFormatPr defaultRowHeight="14.4" x14ac:dyDescent="0.3"/>
  <sheetData>
    <row r="3" spans="1:3" x14ac:dyDescent="0.3">
      <c r="A3" s="13"/>
      <c r="B3" s="14"/>
      <c r="C3" s="15"/>
    </row>
    <row r="4" spans="1:3" x14ac:dyDescent="0.3">
      <c r="A4" s="16"/>
      <c r="B4" s="17"/>
      <c r="C4" s="18"/>
    </row>
    <row r="5" spans="1:3" x14ac:dyDescent="0.3">
      <c r="A5" s="16"/>
      <c r="B5" s="17"/>
      <c r="C5" s="18"/>
    </row>
    <row r="6" spans="1:3" x14ac:dyDescent="0.3">
      <c r="A6" s="16"/>
      <c r="B6" s="17"/>
      <c r="C6" s="18"/>
    </row>
    <row r="7" spans="1:3" x14ac:dyDescent="0.3">
      <c r="A7" s="16"/>
      <c r="B7" s="17"/>
      <c r="C7" s="18"/>
    </row>
    <row r="8" spans="1:3" x14ac:dyDescent="0.3">
      <c r="A8" s="16"/>
      <c r="B8" s="17"/>
      <c r="C8" s="18"/>
    </row>
    <row r="9" spans="1:3" x14ac:dyDescent="0.3">
      <c r="A9" s="16"/>
      <c r="B9" s="17"/>
      <c r="C9" s="18"/>
    </row>
    <row r="10" spans="1:3" x14ac:dyDescent="0.3">
      <c r="A10" s="16"/>
      <c r="B10" s="17"/>
      <c r="C10" s="18"/>
    </row>
    <row r="11" spans="1:3" x14ac:dyDescent="0.3">
      <c r="A11" s="16"/>
      <c r="B11" s="17"/>
      <c r="C11" s="18"/>
    </row>
    <row r="12" spans="1:3" x14ac:dyDescent="0.3">
      <c r="A12" s="16"/>
      <c r="B12" s="17"/>
      <c r="C12" s="18"/>
    </row>
    <row r="13" spans="1:3" x14ac:dyDescent="0.3">
      <c r="A13" s="16"/>
      <c r="B13" s="17"/>
      <c r="C13" s="18"/>
    </row>
    <row r="14" spans="1:3" x14ac:dyDescent="0.3">
      <c r="A14" s="16"/>
      <c r="B14" s="17"/>
      <c r="C14" s="18"/>
    </row>
    <row r="15" spans="1:3" x14ac:dyDescent="0.3">
      <c r="A15" s="16"/>
      <c r="B15" s="17"/>
      <c r="C15" s="18"/>
    </row>
    <row r="16" spans="1:3" x14ac:dyDescent="0.3">
      <c r="A16" s="16"/>
      <c r="B16" s="17"/>
      <c r="C16" s="18"/>
    </row>
    <row r="17" spans="1:3" x14ac:dyDescent="0.3">
      <c r="A17" s="16"/>
      <c r="B17" s="17"/>
      <c r="C17" s="18"/>
    </row>
    <row r="18" spans="1:3" x14ac:dyDescent="0.3">
      <c r="A18" s="16"/>
      <c r="B18" s="17"/>
      <c r="C18" s="18"/>
    </row>
    <row r="19" spans="1:3" x14ac:dyDescent="0.3">
      <c r="A19" s="16"/>
      <c r="B19" s="17"/>
      <c r="C19" s="18"/>
    </row>
    <row r="20" spans="1:3" x14ac:dyDescent="0.3">
      <c r="A20" s="19"/>
      <c r="B20" s="20"/>
      <c r="C20" s="2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79CC-DEF5-4EC3-AB1D-DB4A47FB4175}">
  <dimension ref="A1:G201"/>
  <sheetViews>
    <sheetView topLeftCell="A2" workbookViewId="0">
      <selection sqref="A1:G201"/>
    </sheetView>
  </sheetViews>
  <sheetFormatPr defaultRowHeight="14.4" x14ac:dyDescent="0.3"/>
  <cols>
    <col min="1" max="1" width="20.77734375" customWidth="1"/>
    <col min="2" max="2" width="17" customWidth="1"/>
    <col min="3" max="3" width="21.88671875" customWidth="1"/>
    <col min="4" max="4" width="19.109375" customWidth="1"/>
    <col min="5" max="5" width="16.5546875" customWidth="1"/>
    <col min="6" max="6" width="17.5546875" customWidth="1"/>
    <col min="7" max="7" width="20.5546875" customWidth="1"/>
  </cols>
  <sheetData>
    <row r="1" spans="1:7" x14ac:dyDescent="0.3">
      <c r="A1" t="s">
        <v>132</v>
      </c>
      <c r="B1" t="s">
        <v>133</v>
      </c>
      <c r="C1" t="s">
        <v>134</v>
      </c>
      <c r="D1" t="s">
        <v>135</v>
      </c>
      <c r="E1" t="s">
        <v>2</v>
      </c>
      <c r="F1" t="s">
        <v>39</v>
      </c>
      <c r="G1" t="s">
        <v>136</v>
      </c>
    </row>
    <row r="2" spans="1:7" x14ac:dyDescent="0.3">
      <c r="A2">
        <v>1001</v>
      </c>
      <c r="B2" t="s">
        <v>137</v>
      </c>
      <c r="C2" t="s">
        <v>138</v>
      </c>
      <c r="D2">
        <v>39</v>
      </c>
      <c r="E2" t="s">
        <v>14</v>
      </c>
      <c r="F2" t="s">
        <v>42</v>
      </c>
      <c r="G2" t="s">
        <v>139</v>
      </c>
    </row>
    <row r="3" spans="1:7" x14ac:dyDescent="0.3">
      <c r="A3">
        <v>1002</v>
      </c>
      <c r="B3" t="s">
        <v>140</v>
      </c>
      <c r="C3" t="s">
        <v>138</v>
      </c>
      <c r="D3">
        <v>51</v>
      </c>
      <c r="E3" t="s">
        <v>61</v>
      </c>
      <c r="F3" t="s">
        <v>42</v>
      </c>
      <c r="G3" t="s">
        <v>141</v>
      </c>
    </row>
    <row r="4" spans="1:7" x14ac:dyDescent="0.3">
      <c r="A4">
        <v>1003</v>
      </c>
      <c r="B4" t="s">
        <v>142</v>
      </c>
      <c r="C4" t="s">
        <v>143</v>
      </c>
      <c r="D4">
        <v>25</v>
      </c>
      <c r="E4" t="s">
        <v>44</v>
      </c>
      <c r="F4" t="s">
        <v>59</v>
      </c>
      <c r="G4" t="s">
        <v>144</v>
      </c>
    </row>
    <row r="5" spans="1:7" x14ac:dyDescent="0.3">
      <c r="A5">
        <v>1004</v>
      </c>
      <c r="B5" t="s">
        <v>145</v>
      </c>
      <c r="C5" t="s">
        <v>138</v>
      </c>
      <c r="D5">
        <v>28</v>
      </c>
      <c r="E5" t="s">
        <v>31</v>
      </c>
      <c r="F5" t="s">
        <v>57</v>
      </c>
      <c r="G5" t="s">
        <v>146</v>
      </c>
    </row>
    <row r="6" spans="1:7" x14ac:dyDescent="0.3">
      <c r="A6">
        <v>1005</v>
      </c>
      <c r="B6" t="s">
        <v>147</v>
      </c>
      <c r="C6" t="s">
        <v>138</v>
      </c>
      <c r="D6">
        <v>29</v>
      </c>
      <c r="E6" t="s">
        <v>31</v>
      </c>
      <c r="F6" t="s">
        <v>42</v>
      </c>
      <c r="G6" t="s">
        <v>148</v>
      </c>
    </row>
    <row r="7" spans="1:7" x14ac:dyDescent="0.3">
      <c r="A7">
        <v>1006</v>
      </c>
      <c r="B7" t="s">
        <v>149</v>
      </c>
      <c r="C7" t="s">
        <v>143</v>
      </c>
      <c r="D7">
        <v>50</v>
      </c>
      <c r="E7" t="s">
        <v>18</v>
      </c>
      <c r="F7" t="s">
        <v>62</v>
      </c>
      <c r="G7" t="s">
        <v>150</v>
      </c>
    </row>
    <row r="8" spans="1:7" x14ac:dyDescent="0.3">
      <c r="A8">
        <v>1007</v>
      </c>
      <c r="B8" t="s">
        <v>151</v>
      </c>
      <c r="C8" t="s">
        <v>143</v>
      </c>
      <c r="D8">
        <v>28</v>
      </c>
      <c r="E8" t="s">
        <v>31</v>
      </c>
      <c r="F8" t="s">
        <v>57</v>
      </c>
      <c r="G8" t="s">
        <v>152</v>
      </c>
    </row>
    <row r="9" spans="1:7" x14ac:dyDescent="0.3">
      <c r="A9">
        <v>1008</v>
      </c>
      <c r="B9" t="s">
        <v>153</v>
      </c>
      <c r="C9" t="s">
        <v>143</v>
      </c>
      <c r="D9">
        <v>19</v>
      </c>
      <c r="E9" t="s">
        <v>31</v>
      </c>
      <c r="F9" t="s">
        <v>57</v>
      </c>
      <c r="G9" t="s">
        <v>154</v>
      </c>
    </row>
    <row r="10" spans="1:7" x14ac:dyDescent="0.3">
      <c r="A10">
        <v>1009</v>
      </c>
      <c r="B10" t="s">
        <v>155</v>
      </c>
      <c r="C10" t="s">
        <v>138</v>
      </c>
      <c r="D10">
        <v>37</v>
      </c>
      <c r="E10" t="s">
        <v>44</v>
      </c>
      <c r="F10" t="s">
        <v>57</v>
      </c>
      <c r="G10" t="s">
        <v>156</v>
      </c>
    </row>
    <row r="11" spans="1:7" x14ac:dyDescent="0.3">
      <c r="A11">
        <v>1010</v>
      </c>
      <c r="B11" t="s">
        <v>157</v>
      </c>
      <c r="C11" t="s">
        <v>138</v>
      </c>
      <c r="D11">
        <v>41</v>
      </c>
      <c r="E11" t="s">
        <v>55</v>
      </c>
      <c r="F11" t="s">
        <v>48</v>
      </c>
      <c r="G11" t="s">
        <v>158</v>
      </c>
    </row>
    <row r="12" spans="1:7" x14ac:dyDescent="0.3">
      <c r="A12">
        <v>1011</v>
      </c>
      <c r="B12" t="s">
        <v>159</v>
      </c>
      <c r="C12" t="s">
        <v>138</v>
      </c>
      <c r="D12">
        <v>39</v>
      </c>
      <c r="E12" t="s">
        <v>44</v>
      </c>
      <c r="F12" t="s">
        <v>53</v>
      </c>
      <c r="G12" t="s">
        <v>160</v>
      </c>
    </row>
    <row r="13" spans="1:7" x14ac:dyDescent="0.3">
      <c r="A13">
        <v>1012</v>
      </c>
      <c r="B13" t="s">
        <v>161</v>
      </c>
      <c r="C13" t="s">
        <v>138</v>
      </c>
      <c r="D13">
        <v>48</v>
      </c>
      <c r="E13" t="s">
        <v>10</v>
      </c>
      <c r="F13" t="s">
        <v>48</v>
      </c>
      <c r="G13" t="s">
        <v>162</v>
      </c>
    </row>
    <row r="14" spans="1:7" x14ac:dyDescent="0.3">
      <c r="A14">
        <v>1013</v>
      </c>
      <c r="B14" t="s">
        <v>163</v>
      </c>
      <c r="C14" t="s">
        <v>138</v>
      </c>
      <c r="D14">
        <v>20</v>
      </c>
      <c r="E14" t="s">
        <v>55</v>
      </c>
      <c r="F14" t="s">
        <v>57</v>
      </c>
      <c r="G14" t="s">
        <v>164</v>
      </c>
    </row>
    <row r="15" spans="1:7" x14ac:dyDescent="0.3">
      <c r="A15">
        <v>1014</v>
      </c>
      <c r="B15" t="s">
        <v>165</v>
      </c>
      <c r="C15" t="s">
        <v>143</v>
      </c>
      <c r="D15">
        <v>32</v>
      </c>
      <c r="E15" t="s">
        <v>31</v>
      </c>
      <c r="F15" t="s">
        <v>42</v>
      </c>
      <c r="G15" t="s">
        <v>166</v>
      </c>
    </row>
    <row r="16" spans="1:7" x14ac:dyDescent="0.3">
      <c r="A16">
        <v>1015</v>
      </c>
      <c r="B16" t="s">
        <v>167</v>
      </c>
      <c r="C16" t="s">
        <v>143</v>
      </c>
      <c r="D16">
        <v>19</v>
      </c>
      <c r="E16" t="s">
        <v>44</v>
      </c>
      <c r="F16" t="s">
        <v>42</v>
      </c>
      <c r="G16" t="s">
        <v>168</v>
      </c>
    </row>
    <row r="17" spans="1:7" x14ac:dyDescent="0.3">
      <c r="A17">
        <v>1016</v>
      </c>
      <c r="B17" t="s">
        <v>169</v>
      </c>
      <c r="C17" t="s">
        <v>138</v>
      </c>
      <c r="D17">
        <v>30</v>
      </c>
      <c r="E17" t="s">
        <v>14</v>
      </c>
      <c r="F17" t="s">
        <v>48</v>
      </c>
      <c r="G17" t="s">
        <v>170</v>
      </c>
    </row>
    <row r="18" spans="1:7" x14ac:dyDescent="0.3">
      <c r="A18">
        <v>1017</v>
      </c>
      <c r="B18" t="s">
        <v>171</v>
      </c>
      <c r="C18" t="s">
        <v>143</v>
      </c>
      <c r="D18">
        <v>58</v>
      </c>
      <c r="E18" t="s">
        <v>10</v>
      </c>
      <c r="F18" t="s">
        <v>53</v>
      </c>
      <c r="G18" t="s">
        <v>172</v>
      </c>
    </row>
    <row r="19" spans="1:7" x14ac:dyDescent="0.3">
      <c r="A19">
        <v>1018</v>
      </c>
      <c r="B19" t="s">
        <v>173</v>
      </c>
      <c r="C19" t="s">
        <v>138</v>
      </c>
      <c r="D19">
        <v>26</v>
      </c>
      <c r="E19" t="s">
        <v>18</v>
      </c>
      <c r="F19" t="s">
        <v>46</v>
      </c>
      <c r="G19" t="s">
        <v>174</v>
      </c>
    </row>
    <row r="20" spans="1:7" x14ac:dyDescent="0.3">
      <c r="A20">
        <v>1019</v>
      </c>
      <c r="B20" t="s">
        <v>175</v>
      </c>
      <c r="C20" t="s">
        <v>143</v>
      </c>
      <c r="D20">
        <v>26</v>
      </c>
      <c r="E20" t="s">
        <v>6</v>
      </c>
      <c r="F20" t="s">
        <v>62</v>
      </c>
      <c r="G20" t="s">
        <v>176</v>
      </c>
    </row>
    <row r="21" spans="1:7" x14ac:dyDescent="0.3">
      <c r="A21">
        <v>1020</v>
      </c>
      <c r="B21" t="s">
        <v>177</v>
      </c>
      <c r="C21" t="s">
        <v>138</v>
      </c>
      <c r="D21">
        <v>45</v>
      </c>
      <c r="E21" t="s">
        <v>14</v>
      </c>
      <c r="F21" t="s">
        <v>59</v>
      </c>
      <c r="G21" t="s">
        <v>178</v>
      </c>
    </row>
    <row r="22" spans="1:7" x14ac:dyDescent="0.3">
      <c r="A22">
        <v>1021</v>
      </c>
      <c r="B22" t="s">
        <v>179</v>
      </c>
      <c r="C22" t="s">
        <v>143</v>
      </c>
      <c r="D22">
        <v>55</v>
      </c>
      <c r="E22" t="s">
        <v>44</v>
      </c>
      <c r="F22" t="s">
        <v>48</v>
      </c>
      <c r="G22" t="s">
        <v>180</v>
      </c>
    </row>
    <row r="23" spans="1:7" x14ac:dyDescent="0.3">
      <c r="A23">
        <v>1022</v>
      </c>
      <c r="B23" t="s">
        <v>181</v>
      </c>
      <c r="C23" t="s">
        <v>143</v>
      </c>
      <c r="D23">
        <v>50</v>
      </c>
      <c r="E23" t="s">
        <v>18</v>
      </c>
      <c r="F23" t="s">
        <v>50</v>
      </c>
      <c r="G23" t="s">
        <v>182</v>
      </c>
    </row>
    <row r="24" spans="1:7" x14ac:dyDescent="0.3">
      <c r="A24">
        <v>1023</v>
      </c>
      <c r="B24" t="s">
        <v>183</v>
      </c>
      <c r="C24" t="s">
        <v>143</v>
      </c>
      <c r="D24">
        <v>27</v>
      </c>
      <c r="E24" t="s">
        <v>44</v>
      </c>
      <c r="F24" t="s">
        <v>42</v>
      </c>
      <c r="G24" t="s">
        <v>184</v>
      </c>
    </row>
    <row r="25" spans="1:7" x14ac:dyDescent="0.3">
      <c r="A25">
        <v>1024</v>
      </c>
      <c r="B25" t="s">
        <v>185</v>
      </c>
      <c r="C25" t="s">
        <v>138</v>
      </c>
      <c r="D25">
        <v>36</v>
      </c>
      <c r="E25" t="s">
        <v>6</v>
      </c>
      <c r="F25" t="s">
        <v>57</v>
      </c>
      <c r="G25" t="s">
        <v>186</v>
      </c>
    </row>
    <row r="26" spans="1:7" x14ac:dyDescent="0.3">
      <c r="A26">
        <v>1025</v>
      </c>
      <c r="B26" t="s">
        <v>187</v>
      </c>
      <c r="C26" t="s">
        <v>143</v>
      </c>
      <c r="D26">
        <v>47</v>
      </c>
      <c r="E26" t="s">
        <v>10</v>
      </c>
      <c r="F26" t="s">
        <v>50</v>
      </c>
      <c r="G26" t="s">
        <v>188</v>
      </c>
    </row>
    <row r="27" spans="1:7" x14ac:dyDescent="0.3">
      <c r="A27">
        <v>1026</v>
      </c>
      <c r="B27" t="s">
        <v>189</v>
      </c>
      <c r="C27" t="s">
        <v>138</v>
      </c>
      <c r="D27">
        <v>60</v>
      </c>
      <c r="E27" t="s">
        <v>31</v>
      </c>
      <c r="F27" t="s">
        <v>46</v>
      </c>
      <c r="G27" t="s">
        <v>190</v>
      </c>
    </row>
    <row r="28" spans="1:7" x14ac:dyDescent="0.3">
      <c r="A28">
        <v>1027</v>
      </c>
      <c r="B28" t="s">
        <v>191</v>
      </c>
      <c r="C28" t="s">
        <v>143</v>
      </c>
      <c r="D28">
        <v>32</v>
      </c>
      <c r="E28" t="s">
        <v>31</v>
      </c>
      <c r="F28" t="s">
        <v>48</v>
      </c>
      <c r="G28" t="s">
        <v>186</v>
      </c>
    </row>
    <row r="29" spans="1:7" x14ac:dyDescent="0.3">
      <c r="A29">
        <v>1028</v>
      </c>
      <c r="B29" t="s">
        <v>192</v>
      </c>
      <c r="C29" t="s">
        <v>138</v>
      </c>
      <c r="D29">
        <v>49</v>
      </c>
      <c r="E29" t="s">
        <v>10</v>
      </c>
      <c r="F29" t="s">
        <v>53</v>
      </c>
      <c r="G29" t="s">
        <v>193</v>
      </c>
    </row>
    <row r="30" spans="1:7" x14ac:dyDescent="0.3">
      <c r="A30">
        <v>1029</v>
      </c>
      <c r="B30" t="s">
        <v>194</v>
      </c>
      <c r="C30" t="s">
        <v>138</v>
      </c>
      <c r="D30">
        <v>37</v>
      </c>
      <c r="E30" t="s">
        <v>55</v>
      </c>
      <c r="F30" t="s">
        <v>48</v>
      </c>
      <c r="G30" t="s">
        <v>195</v>
      </c>
    </row>
    <row r="31" spans="1:7" x14ac:dyDescent="0.3">
      <c r="A31">
        <v>1030</v>
      </c>
      <c r="B31" t="s">
        <v>196</v>
      </c>
      <c r="C31" t="s">
        <v>138</v>
      </c>
      <c r="D31">
        <v>49</v>
      </c>
      <c r="E31" t="s">
        <v>18</v>
      </c>
      <c r="F31" t="s">
        <v>57</v>
      </c>
      <c r="G31" t="s">
        <v>197</v>
      </c>
    </row>
    <row r="32" spans="1:7" x14ac:dyDescent="0.3">
      <c r="A32">
        <v>1031</v>
      </c>
      <c r="B32" t="s">
        <v>198</v>
      </c>
      <c r="C32" t="s">
        <v>143</v>
      </c>
      <c r="D32">
        <v>24</v>
      </c>
      <c r="E32" t="s">
        <v>18</v>
      </c>
      <c r="F32" t="s">
        <v>48</v>
      </c>
      <c r="G32" t="s">
        <v>199</v>
      </c>
    </row>
    <row r="33" spans="1:7" x14ac:dyDescent="0.3">
      <c r="A33">
        <v>1032</v>
      </c>
      <c r="B33" t="s">
        <v>200</v>
      </c>
      <c r="C33" t="s">
        <v>138</v>
      </c>
      <c r="D33">
        <v>60</v>
      </c>
      <c r="E33" t="s">
        <v>55</v>
      </c>
      <c r="F33" t="s">
        <v>48</v>
      </c>
      <c r="G33" t="s">
        <v>201</v>
      </c>
    </row>
    <row r="34" spans="1:7" x14ac:dyDescent="0.3">
      <c r="A34">
        <v>1033</v>
      </c>
      <c r="B34" t="s">
        <v>202</v>
      </c>
      <c r="C34" t="s">
        <v>143</v>
      </c>
      <c r="D34">
        <v>31</v>
      </c>
      <c r="E34" t="s">
        <v>10</v>
      </c>
      <c r="F34" t="s">
        <v>42</v>
      </c>
      <c r="G34" t="s">
        <v>203</v>
      </c>
    </row>
    <row r="35" spans="1:7" x14ac:dyDescent="0.3">
      <c r="A35">
        <v>1034</v>
      </c>
      <c r="B35" t="s">
        <v>204</v>
      </c>
      <c r="C35" t="s">
        <v>143</v>
      </c>
      <c r="D35">
        <v>21</v>
      </c>
      <c r="E35" t="s">
        <v>31</v>
      </c>
      <c r="F35" t="s">
        <v>53</v>
      </c>
      <c r="G35" t="s">
        <v>205</v>
      </c>
    </row>
    <row r="36" spans="1:7" x14ac:dyDescent="0.3">
      <c r="A36">
        <v>1035</v>
      </c>
      <c r="B36" t="s">
        <v>206</v>
      </c>
      <c r="C36" t="s">
        <v>143</v>
      </c>
      <c r="D36">
        <v>56</v>
      </c>
      <c r="E36" t="s">
        <v>61</v>
      </c>
      <c r="F36" t="s">
        <v>42</v>
      </c>
      <c r="G36" t="s">
        <v>207</v>
      </c>
    </row>
    <row r="37" spans="1:7" x14ac:dyDescent="0.3">
      <c r="A37">
        <v>1036</v>
      </c>
      <c r="B37" t="s">
        <v>208</v>
      </c>
      <c r="C37" t="s">
        <v>138</v>
      </c>
      <c r="D37">
        <v>32</v>
      </c>
      <c r="E37" t="s">
        <v>18</v>
      </c>
      <c r="F37" t="s">
        <v>46</v>
      </c>
      <c r="G37" t="s">
        <v>209</v>
      </c>
    </row>
    <row r="38" spans="1:7" x14ac:dyDescent="0.3">
      <c r="A38">
        <v>1037</v>
      </c>
      <c r="B38" t="s">
        <v>210</v>
      </c>
      <c r="C38" t="s">
        <v>138</v>
      </c>
      <c r="D38">
        <v>34</v>
      </c>
      <c r="E38" t="s">
        <v>6</v>
      </c>
      <c r="F38" t="s">
        <v>46</v>
      </c>
      <c r="G38" t="s">
        <v>211</v>
      </c>
    </row>
    <row r="39" spans="1:7" x14ac:dyDescent="0.3">
      <c r="A39">
        <v>1038</v>
      </c>
      <c r="B39" t="s">
        <v>212</v>
      </c>
      <c r="C39" t="s">
        <v>143</v>
      </c>
      <c r="D39">
        <v>18</v>
      </c>
      <c r="E39" t="s">
        <v>55</v>
      </c>
      <c r="F39" t="s">
        <v>59</v>
      </c>
      <c r="G39" t="s">
        <v>213</v>
      </c>
    </row>
    <row r="40" spans="1:7" x14ac:dyDescent="0.3">
      <c r="A40">
        <v>1039</v>
      </c>
      <c r="B40" t="s">
        <v>214</v>
      </c>
      <c r="C40" t="s">
        <v>143</v>
      </c>
      <c r="D40">
        <v>59</v>
      </c>
      <c r="E40" t="s">
        <v>44</v>
      </c>
      <c r="F40" t="s">
        <v>59</v>
      </c>
      <c r="G40" t="s">
        <v>139</v>
      </c>
    </row>
    <row r="41" spans="1:7" x14ac:dyDescent="0.3">
      <c r="A41">
        <v>1040</v>
      </c>
      <c r="B41" t="s">
        <v>215</v>
      </c>
      <c r="C41" t="s">
        <v>138</v>
      </c>
      <c r="D41">
        <v>60</v>
      </c>
      <c r="E41" t="s">
        <v>55</v>
      </c>
      <c r="F41" t="s">
        <v>53</v>
      </c>
      <c r="G41" t="s">
        <v>216</v>
      </c>
    </row>
    <row r="42" spans="1:7" x14ac:dyDescent="0.3">
      <c r="A42">
        <v>1041</v>
      </c>
      <c r="B42" t="s">
        <v>217</v>
      </c>
      <c r="C42" t="s">
        <v>138</v>
      </c>
      <c r="D42">
        <v>27</v>
      </c>
      <c r="E42" t="s">
        <v>55</v>
      </c>
      <c r="F42" t="s">
        <v>62</v>
      </c>
      <c r="G42" t="s">
        <v>218</v>
      </c>
    </row>
    <row r="43" spans="1:7" x14ac:dyDescent="0.3">
      <c r="A43">
        <v>1042</v>
      </c>
      <c r="B43" t="s">
        <v>219</v>
      </c>
      <c r="C43" t="s">
        <v>138</v>
      </c>
      <c r="D43">
        <v>24</v>
      </c>
      <c r="E43" t="s">
        <v>61</v>
      </c>
      <c r="F43" t="s">
        <v>48</v>
      </c>
      <c r="G43" t="s">
        <v>220</v>
      </c>
    </row>
    <row r="44" spans="1:7" x14ac:dyDescent="0.3">
      <c r="A44">
        <v>1043</v>
      </c>
      <c r="B44" t="s">
        <v>221</v>
      </c>
      <c r="C44" t="s">
        <v>138</v>
      </c>
      <c r="D44">
        <v>50</v>
      </c>
      <c r="E44" t="s">
        <v>55</v>
      </c>
      <c r="F44" t="s">
        <v>50</v>
      </c>
      <c r="G44" t="s">
        <v>222</v>
      </c>
    </row>
    <row r="45" spans="1:7" x14ac:dyDescent="0.3">
      <c r="A45">
        <v>1044</v>
      </c>
      <c r="B45" t="s">
        <v>223</v>
      </c>
      <c r="C45" t="s">
        <v>143</v>
      </c>
      <c r="D45">
        <v>47</v>
      </c>
      <c r="E45" t="s">
        <v>18</v>
      </c>
      <c r="F45" t="s">
        <v>46</v>
      </c>
      <c r="G45" t="s">
        <v>224</v>
      </c>
    </row>
    <row r="46" spans="1:7" x14ac:dyDescent="0.3">
      <c r="A46">
        <v>1045</v>
      </c>
      <c r="B46" t="s">
        <v>225</v>
      </c>
      <c r="C46" t="s">
        <v>143</v>
      </c>
      <c r="D46">
        <v>49</v>
      </c>
      <c r="E46" t="s">
        <v>31</v>
      </c>
      <c r="F46" t="s">
        <v>50</v>
      </c>
      <c r="G46" t="s">
        <v>226</v>
      </c>
    </row>
    <row r="47" spans="1:7" x14ac:dyDescent="0.3">
      <c r="A47">
        <v>1046</v>
      </c>
      <c r="B47" t="s">
        <v>227</v>
      </c>
      <c r="C47" t="s">
        <v>143</v>
      </c>
      <c r="D47">
        <v>30</v>
      </c>
      <c r="E47" t="s">
        <v>18</v>
      </c>
      <c r="F47" t="s">
        <v>57</v>
      </c>
      <c r="G47" t="s">
        <v>228</v>
      </c>
    </row>
    <row r="48" spans="1:7" x14ac:dyDescent="0.3">
      <c r="A48">
        <v>1047</v>
      </c>
      <c r="B48" t="s">
        <v>229</v>
      </c>
      <c r="C48" t="s">
        <v>143</v>
      </c>
      <c r="D48">
        <v>54</v>
      </c>
      <c r="E48" t="s">
        <v>14</v>
      </c>
      <c r="F48" t="s">
        <v>59</v>
      </c>
      <c r="G48" t="s">
        <v>230</v>
      </c>
    </row>
    <row r="49" spans="1:7" x14ac:dyDescent="0.3">
      <c r="A49">
        <v>1048</v>
      </c>
      <c r="B49" t="s">
        <v>231</v>
      </c>
      <c r="C49" t="s">
        <v>143</v>
      </c>
      <c r="D49">
        <v>44</v>
      </c>
      <c r="E49" t="s">
        <v>44</v>
      </c>
      <c r="F49" t="s">
        <v>62</v>
      </c>
      <c r="G49" t="s">
        <v>232</v>
      </c>
    </row>
    <row r="50" spans="1:7" x14ac:dyDescent="0.3">
      <c r="A50">
        <v>1049</v>
      </c>
      <c r="B50" t="s">
        <v>233</v>
      </c>
      <c r="C50" t="s">
        <v>138</v>
      </c>
      <c r="D50">
        <v>46</v>
      </c>
      <c r="E50" t="s">
        <v>10</v>
      </c>
      <c r="F50" t="s">
        <v>53</v>
      </c>
      <c r="G50" t="s">
        <v>234</v>
      </c>
    </row>
    <row r="51" spans="1:7" x14ac:dyDescent="0.3">
      <c r="A51">
        <v>1050</v>
      </c>
      <c r="B51" t="s">
        <v>235</v>
      </c>
      <c r="C51" t="s">
        <v>138</v>
      </c>
      <c r="D51">
        <v>56</v>
      </c>
      <c r="E51" t="s">
        <v>14</v>
      </c>
      <c r="F51" t="s">
        <v>42</v>
      </c>
      <c r="G51" t="s">
        <v>236</v>
      </c>
    </row>
    <row r="52" spans="1:7" x14ac:dyDescent="0.3">
      <c r="A52">
        <v>1051</v>
      </c>
      <c r="B52" t="s">
        <v>237</v>
      </c>
      <c r="C52" t="s">
        <v>138</v>
      </c>
      <c r="D52">
        <v>31</v>
      </c>
      <c r="E52" t="s">
        <v>31</v>
      </c>
      <c r="F52" t="s">
        <v>62</v>
      </c>
      <c r="G52" t="s">
        <v>238</v>
      </c>
    </row>
    <row r="53" spans="1:7" x14ac:dyDescent="0.3">
      <c r="A53">
        <v>1052</v>
      </c>
      <c r="B53" t="s">
        <v>239</v>
      </c>
      <c r="C53" t="s">
        <v>138</v>
      </c>
      <c r="D53">
        <v>52</v>
      </c>
      <c r="E53" t="s">
        <v>31</v>
      </c>
      <c r="F53" t="s">
        <v>53</v>
      </c>
      <c r="G53" t="s">
        <v>240</v>
      </c>
    </row>
    <row r="54" spans="1:7" x14ac:dyDescent="0.3">
      <c r="A54">
        <v>1053</v>
      </c>
      <c r="B54" t="s">
        <v>241</v>
      </c>
      <c r="C54" t="s">
        <v>138</v>
      </c>
      <c r="D54">
        <v>41</v>
      </c>
      <c r="E54" t="s">
        <v>44</v>
      </c>
      <c r="F54" t="s">
        <v>62</v>
      </c>
      <c r="G54" t="s">
        <v>242</v>
      </c>
    </row>
    <row r="55" spans="1:7" x14ac:dyDescent="0.3">
      <c r="A55">
        <v>1054</v>
      </c>
      <c r="B55" t="s">
        <v>243</v>
      </c>
      <c r="C55" t="s">
        <v>138</v>
      </c>
      <c r="D55">
        <v>45</v>
      </c>
      <c r="E55" t="s">
        <v>6</v>
      </c>
      <c r="F55" t="s">
        <v>42</v>
      </c>
      <c r="G55" t="s">
        <v>234</v>
      </c>
    </row>
    <row r="56" spans="1:7" x14ac:dyDescent="0.3">
      <c r="A56">
        <v>1055</v>
      </c>
      <c r="B56" t="s">
        <v>244</v>
      </c>
      <c r="C56" t="s">
        <v>138</v>
      </c>
      <c r="D56">
        <v>19</v>
      </c>
      <c r="E56" t="s">
        <v>6</v>
      </c>
      <c r="F56" t="s">
        <v>46</v>
      </c>
      <c r="G56" t="s">
        <v>245</v>
      </c>
    </row>
    <row r="57" spans="1:7" x14ac:dyDescent="0.3">
      <c r="A57">
        <v>1056</v>
      </c>
      <c r="B57" t="s">
        <v>246</v>
      </c>
      <c r="C57" t="s">
        <v>138</v>
      </c>
      <c r="D57">
        <v>59</v>
      </c>
      <c r="E57" t="s">
        <v>55</v>
      </c>
      <c r="F57" t="s">
        <v>53</v>
      </c>
      <c r="G57" t="s">
        <v>247</v>
      </c>
    </row>
    <row r="58" spans="1:7" x14ac:dyDescent="0.3">
      <c r="A58">
        <v>1057</v>
      </c>
      <c r="B58" t="s">
        <v>248</v>
      </c>
      <c r="C58" t="s">
        <v>138</v>
      </c>
      <c r="D58">
        <v>18</v>
      </c>
      <c r="E58" t="s">
        <v>44</v>
      </c>
      <c r="F58" t="s">
        <v>50</v>
      </c>
      <c r="G58" t="s">
        <v>249</v>
      </c>
    </row>
    <row r="59" spans="1:7" x14ac:dyDescent="0.3">
      <c r="A59">
        <v>1058</v>
      </c>
      <c r="B59" t="s">
        <v>250</v>
      </c>
      <c r="C59" t="s">
        <v>143</v>
      </c>
      <c r="D59">
        <v>31</v>
      </c>
      <c r="E59" t="s">
        <v>14</v>
      </c>
      <c r="F59" t="s">
        <v>62</v>
      </c>
      <c r="G59" t="s">
        <v>251</v>
      </c>
    </row>
    <row r="60" spans="1:7" x14ac:dyDescent="0.3">
      <c r="A60">
        <v>1059</v>
      </c>
      <c r="B60" t="s">
        <v>252</v>
      </c>
      <c r="C60" t="s">
        <v>138</v>
      </c>
      <c r="D60">
        <v>34</v>
      </c>
      <c r="E60" t="s">
        <v>55</v>
      </c>
      <c r="F60" t="s">
        <v>57</v>
      </c>
      <c r="G60" t="s">
        <v>139</v>
      </c>
    </row>
    <row r="61" spans="1:7" x14ac:dyDescent="0.3">
      <c r="A61">
        <v>1060</v>
      </c>
      <c r="B61" t="s">
        <v>253</v>
      </c>
      <c r="C61" t="s">
        <v>138</v>
      </c>
      <c r="D61">
        <v>31</v>
      </c>
      <c r="E61" t="s">
        <v>6</v>
      </c>
      <c r="F61" t="s">
        <v>48</v>
      </c>
      <c r="G61" t="s">
        <v>254</v>
      </c>
    </row>
    <row r="62" spans="1:7" x14ac:dyDescent="0.3">
      <c r="A62">
        <v>1061</v>
      </c>
      <c r="B62" t="s">
        <v>255</v>
      </c>
      <c r="C62" t="s">
        <v>143</v>
      </c>
      <c r="D62">
        <v>27</v>
      </c>
      <c r="E62" t="s">
        <v>18</v>
      </c>
      <c r="F62" t="s">
        <v>48</v>
      </c>
      <c r="G62" t="s">
        <v>256</v>
      </c>
    </row>
    <row r="63" spans="1:7" x14ac:dyDescent="0.3">
      <c r="A63">
        <v>1062</v>
      </c>
      <c r="B63" t="s">
        <v>257</v>
      </c>
      <c r="C63" t="s">
        <v>143</v>
      </c>
      <c r="D63">
        <v>25</v>
      </c>
      <c r="E63" t="s">
        <v>44</v>
      </c>
      <c r="F63" t="s">
        <v>59</v>
      </c>
      <c r="G63" t="s">
        <v>258</v>
      </c>
    </row>
    <row r="64" spans="1:7" x14ac:dyDescent="0.3">
      <c r="A64">
        <v>1063</v>
      </c>
      <c r="B64" t="s">
        <v>259</v>
      </c>
      <c r="C64" t="s">
        <v>138</v>
      </c>
      <c r="D64">
        <v>25</v>
      </c>
      <c r="E64" t="s">
        <v>44</v>
      </c>
      <c r="F64" t="s">
        <v>50</v>
      </c>
      <c r="G64" t="s">
        <v>260</v>
      </c>
    </row>
    <row r="65" spans="1:7" x14ac:dyDescent="0.3">
      <c r="A65">
        <v>1064</v>
      </c>
      <c r="B65" t="s">
        <v>261</v>
      </c>
      <c r="C65" t="s">
        <v>138</v>
      </c>
      <c r="D65">
        <v>26</v>
      </c>
      <c r="E65" t="s">
        <v>61</v>
      </c>
      <c r="F65" t="s">
        <v>59</v>
      </c>
      <c r="G65" t="s">
        <v>262</v>
      </c>
    </row>
    <row r="66" spans="1:7" x14ac:dyDescent="0.3">
      <c r="A66">
        <v>1065</v>
      </c>
      <c r="B66" t="s">
        <v>263</v>
      </c>
      <c r="C66" t="s">
        <v>138</v>
      </c>
      <c r="D66">
        <v>23</v>
      </c>
      <c r="E66" t="s">
        <v>44</v>
      </c>
      <c r="F66" t="s">
        <v>46</v>
      </c>
      <c r="G66" t="s">
        <v>264</v>
      </c>
    </row>
    <row r="67" spans="1:7" x14ac:dyDescent="0.3">
      <c r="A67">
        <v>1066</v>
      </c>
      <c r="B67" t="s">
        <v>265</v>
      </c>
      <c r="C67" t="s">
        <v>138</v>
      </c>
      <c r="D67">
        <v>48</v>
      </c>
      <c r="E67" t="s">
        <v>18</v>
      </c>
      <c r="F67" t="s">
        <v>48</v>
      </c>
      <c r="G67" t="s">
        <v>266</v>
      </c>
    </row>
    <row r="68" spans="1:7" x14ac:dyDescent="0.3">
      <c r="A68">
        <v>1067</v>
      </c>
      <c r="B68" t="s">
        <v>267</v>
      </c>
      <c r="C68" t="s">
        <v>143</v>
      </c>
      <c r="D68">
        <v>23</v>
      </c>
      <c r="E68" t="s">
        <v>10</v>
      </c>
      <c r="F68" t="s">
        <v>46</v>
      </c>
      <c r="G68" t="s">
        <v>268</v>
      </c>
    </row>
    <row r="69" spans="1:7" x14ac:dyDescent="0.3">
      <c r="A69">
        <v>1068</v>
      </c>
      <c r="B69" t="s">
        <v>269</v>
      </c>
      <c r="C69" t="s">
        <v>143</v>
      </c>
      <c r="D69">
        <v>46</v>
      </c>
      <c r="E69" t="s">
        <v>61</v>
      </c>
      <c r="F69" t="s">
        <v>57</v>
      </c>
      <c r="G69" t="s">
        <v>166</v>
      </c>
    </row>
    <row r="70" spans="1:7" x14ac:dyDescent="0.3">
      <c r="A70">
        <v>1069</v>
      </c>
      <c r="B70" t="s">
        <v>270</v>
      </c>
      <c r="C70" t="s">
        <v>138</v>
      </c>
      <c r="D70">
        <v>22</v>
      </c>
      <c r="E70" t="s">
        <v>44</v>
      </c>
      <c r="F70" t="s">
        <v>62</v>
      </c>
      <c r="G70" t="s">
        <v>162</v>
      </c>
    </row>
    <row r="71" spans="1:7" x14ac:dyDescent="0.3">
      <c r="A71">
        <v>1070</v>
      </c>
      <c r="B71" t="s">
        <v>271</v>
      </c>
      <c r="C71" t="s">
        <v>143</v>
      </c>
      <c r="D71">
        <v>59</v>
      </c>
      <c r="E71" t="s">
        <v>61</v>
      </c>
      <c r="F71" t="s">
        <v>53</v>
      </c>
      <c r="G71" t="s">
        <v>272</v>
      </c>
    </row>
    <row r="72" spans="1:7" x14ac:dyDescent="0.3">
      <c r="A72">
        <v>1071</v>
      </c>
      <c r="B72" t="s">
        <v>273</v>
      </c>
      <c r="C72" t="s">
        <v>143</v>
      </c>
      <c r="D72">
        <v>48</v>
      </c>
      <c r="E72" t="s">
        <v>61</v>
      </c>
      <c r="F72" t="s">
        <v>50</v>
      </c>
      <c r="G72" t="s">
        <v>274</v>
      </c>
    </row>
    <row r="73" spans="1:7" x14ac:dyDescent="0.3">
      <c r="A73">
        <v>1072</v>
      </c>
      <c r="B73" t="s">
        <v>275</v>
      </c>
      <c r="C73" t="s">
        <v>138</v>
      </c>
      <c r="D73">
        <v>23</v>
      </c>
      <c r="E73" t="s">
        <v>31</v>
      </c>
      <c r="F73" t="s">
        <v>42</v>
      </c>
      <c r="G73" t="s">
        <v>276</v>
      </c>
    </row>
    <row r="74" spans="1:7" x14ac:dyDescent="0.3">
      <c r="A74">
        <v>1073</v>
      </c>
      <c r="B74" t="s">
        <v>277</v>
      </c>
      <c r="C74" t="s">
        <v>138</v>
      </c>
      <c r="D74">
        <v>43</v>
      </c>
      <c r="E74" t="s">
        <v>55</v>
      </c>
      <c r="F74" t="s">
        <v>57</v>
      </c>
      <c r="G74" t="s">
        <v>278</v>
      </c>
    </row>
    <row r="75" spans="1:7" x14ac:dyDescent="0.3">
      <c r="A75">
        <v>1074</v>
      </c>
      <c r="B75" t="s">
        <v>279</v>
      </c>
      <c r="C75" t="s">
        <v>143</v>
      </c>
      <c r="D75">
        <v>46</v>
      </c>
      <c r="E75" t="s">
        <v>44</v>
      </c>
      <c r="F75" t="s">
        <v>59</v>
      </c>
      <c r="G75" t="s">
        <v>280</v>
      </c>
    </row>
    <row r="76" spans="1:7" x14ac:dyDescent="0.3">
      <c r="A76">
        <v>1075</v>
      </c>
      <c r="B76" t="s">
        <v>281</v>
      </c>
      <c r="C76" t="s">
        <v>143</v>
      </c>
      <c r="D76">
        <v>18</v>
      </c>
      <c r="E76" t="s">
        <v>31</v>
      </c>
      <c r="F76" t="s">
        <v>50</v>
      </c>
      <c r="G76" t="s">
        <v>282</v>
      </c>
    </row>
    <row r="77" spans="1:7" x14ac:dyDescent="0.3">
      <c r="A77">
        <v>1076</v>
      </c>
      <c r="B77" t="s">
        <v>283</v>
      </c>
      <c r="C77" t="s">
        <v>138</v>
      </c>
      <c r="D77">
        <v>49</v>
      </c>
      <c r="E77" t="s">
        <v>10</v>
      </c>
      <c r="F77" t="s">
        <v>42</v>
      </c>
      <c r="G77" t="s">
        <v>284</v>
      </c>
    </row>
    <row r="78" spans="1:7" x14ac:dyDescent="0.3">
      <c r="A78">
        <v>1077</v>
      </c>
      <c r="B78" t="s">
        <v>285</v>
      </c>
      <c r="C78" t="s">
        <v>138</v>
      </c>
      <c r="D78">
        <v>42</v>
      </c>
      <c r="E78" t="s">
        <v>18</v>
      </c>
      <c r="F78" t="s">
        <v>57</v>
      </c>
      <c r="G78" t="s">
        <v>286</v>
      </c>
    </row>
    <row r="79" spans="1:7" x14ac:dyDescent="0.3">
      <c r="A79">
        <v>1078</v>
      </c>
      <c r="B79" t="s">
        <v>287</v>
      </c>
      <c r="C79" t="s">
        <v>143</v>
      </c>
      <c r="D79">
        <v>29</v>
      </c>
      <c r="E79" t="s">
        <v>61</v>
      </c>
      <c r="F79" t="s">
        <v>62</v>
      </c>
      <c r="G79" t="s">
        <v>288</v>
      </c>
    </row>
    <row r="80" spans="1:7" x14ac:dyDescent="0.3">
      <c r="A80">
        <v>1079</v>
      </c>
      <c r="B80" t="s">
        <v>289</v>
      </c>
      <c r="C80" t="s">
        <v>138</v>
      </c>
      <c r="D80">
        <v>39</v>
      </c>
      <c r="E80" t="s">
        <v>61</v>
      </c>
      <c r="F80" t="s">
        <v>62</v>
      </c>
      <c r="G80" t="s">
        <v>209</v>
      </c>
    </row>
    <row r="81" spans="1:7" x14ac:dyDescent="0.3">
      <c r="A81">
        <v>1080</v>
      </c>
      <c r="B81" t="s">
        <v>290</v>
      </c>
      <c r="C81" t="s">
        <v>138</v>
      </c>
      <c r="D81">
        <v>46</v>
      </c>
      <c r="E81" t="s">
        <v>44</v>
      </c>
      <c r="F81" t="s">
        <v>57</v>
      </c>
      <c r="G81" t="s">
        <v>291</v>
      </c>
    </row>
    <row r="82" spans="1:7" x14ac:dyDescent="0.3">
      <c r="A82">
        <v>1081</v>
      </c>
      <c r="B82" t="s">
        <v>292</v>
      </c>
      <c r="C82" t="s">
        <v>138</v>
      </c>
      <c r="D82">
        <v>27</v>
      </c>
      <c r="E82" t="s">
        <v>44</v>
      </c>
      <c r="F82" t="s">
        <v>59</v>
      </c>
      <c r="G82" t="s">
        <v>293</v>
      </c>
    </row>
    <row r="83" spans="1:7" x14ac:dyDescent="0.3">
      <c r="A83">
        <v>1082</v>
      </c>
      <c r="B83" t="s">
        <v>294</v>
      </c>
      <c r="C83" t="s">
        <v>143</v>
      </c>
      <c r="D83">
        <v>25</v>
      </c>
      <c r="E83" t="s">
        <v>14</v>
      </c>
      <c r="F83" t="s">
        <v>53</v>
      </c>
      <c r="G83" t="s">
        <v>295</v>
      </c>
    </row>
    <row r="84" spans="1:7" x14ac:dyDescent="0.3">
      <c r="A84">
        <v>1083</v>
      </c>
      <c r="B84" t="s">
        <v>296</v>
      </c>
      <c r="C84" t="s">
        <v>143</v>
      </c>
      <c r="D84">
        <v>26</v>
      </c>
      <c r="E84" t="s">
        <v>10</v>
      </c>
      <c r="F84" t="s">
        <v>53</v>
      </c>
      <c r="G84" t="s">
        <v>297</v>
      </c>
    </row>
    <row r="85" spans="1:7" x14ac:dyDescent="0.3">
      <c r="A85">
        <v>1084</v>
      </c>
      <c r="B85" t="s">
        <v>298</v>
      </c>
      <c r="C85" t="s">
        <v>138</v>
      </c>
      <c r="D85">
        <v>45</v>
      </c>
      <c r="E85" t="s">
        <v>10</v>
      </c>
      <c r="F85" t="s">
        <v>48</v>
      </c>
      <c r="G85" t="s">
        <v>299</v>
      </c>
    </row>
    <row r="86" spans="1:7" x14ac:dyDescent="0.3">
      <c r="A86">
        <v>1085</v>
      </c>
      <c r="B86" t="s">
        <v>300</v>
      </c>
      <c r="C86" t="s">
        <v>143</v>
      </c>
      <c r="D86">
        <v>32</v>
      </c>
      <c r="E86" t="s">
        <v>14</v>
      </c>
      <c r="F86" t="s">
        <v>57</v>
      </c>
      <c r="G86" t="s">
        <v>301</v>
      </c>
    </row>
    <row r="87" spans="1:7" x14ac:dyDescent="0.3">
      <c r="A87">
        <v>1086</v>
      </c>
      <c r="B87" t="s">
        <v>302</v>
      </c>
      <c r="C87" t="s">
        <v>138</v>
      </c>
      <c r="D87">
        <v>49</v>
      </c>
      <c r="E87" t="s">
        <v>55</v>
      </c>
      <c r="F87" t="s">
        <v>57</v>
      </c>
      <c r="G87" t="s">
        <v>303</v>
      </c>
    </row>
    <row r="88" spans="1:7" x14ac:dyDescent="0.3">
      <c r="A88">
        <v>1087</v>
      </c>
      <c r="B88" t="s">
        <v>304</v>
      </c>
      <c r="C88" t="s">
        <v>138</v>
      </c>
      <c r="D88">
        <v>56</v>
      </c>
      <c r="E88" t="s">
        <v>18</v>
      </c>
      <c r="F88" t="s">
        <v>46</v>
      </c>
      <c r="G88" t="s">
        <v>305</v>
      </c>
    </row>
    <row r="89" spans="1:7" x14ac:dyDescent="0.3">
      <c r="A89">
        <v>1088</v>
      </c>
      <c r="B89" t="s">
        <v>306</v>
      </c>
      <c r="C89" t="s">
        <v>143</v>
      </c>
      <c r="D89">
        <v>59</v>
      </c>
      <c r="E89" t="s">
        <v>61</v>
      </c>
      <c r="F89" t="s">
        <v>48</v>
      </c>
      <c r="G89" t="s">
        <v>220</v>
      </c>
    </row>
    <row r="90" spans="1:7" x14ac:dyDescent="0.3">
      <c r="A90">
        <v>1089</v>
      </c>
      <c r="B90" t="s">
        <v>307</v>
      </c>
      <c r="C90" t="s">
        <v>138</v>
      </c>
      <c r="D90">
        <v>54</v>
      </c>
      <c r="E90" t="s">
        <v>10</v>
      </c>
      <c r="F90" t="s">
        <v>57</v>
      </c>
      <c r="G90" t="s">
        <v>308</v>
      </c>
    </row>
    <row r="91" spans="1:7" x14ac:dyDescent="0.3">
      <c r="A91">
        <v>1090</v>
      </c>
      <c r="B91" t="s">
        <v>309</v>
      </c>
      <c r="C91" t="s">
        <v>143</v>
      </c>
      <c r="D91">
        <v>30</v>
      </c>
      <c r="E91" t="s">
        <v>31</v>
      </c>
      <c r="F91" t="s">
        <v>42</v>
      </c>
      <c r="G91" t="s">
        <v>310</v>
      </c>
    </row>
    <row r="92" spans="1:7" x14ac:dyDescent="0.3">
      <c r="A92">
        <v>1091</v>
      </c>
      <c r="B92" t="s">
        <v>311</v>
      </c>
      <c r="C92" t="s">
        <v>138</v>
      </c>
      <c r="D92">
        <v>44</v>
      </c>
      <c r="E92" t="s">
        <v>6</v>
      </c>
      <c r="F92" t="s">
        <v>50</v>
      </c>
      <c r="G92" t="s">
        <v>312</v>
      </c>
    </row>
    <row r="93" spans="1:7" x14ac:dyDescent="0.3">
      <c r="A93">
        <v>1092</v>
      </c>
      <c r="B93" t="s">
        <v>313</v>
      </c>
      <c r="C93" t="s">
        <v>138</v>
      </c>
      <c r="D93">
        <v>33</v>
      </c>
      <c r="E93" t="s">
        <v>61</v>
      </c>
      <c r="F93" t="s">
        <v>59</v>
      </c>
      <c r="G93" t="s">
        <v>314</v>
      </c>
    </row>
    <row r="94" spans="1:7" x14ac:dyDescent="0.3">
      <c r="A94">
        <v>1093</v>
      </c>
      <c r="B94" t="s">
        <v>315</v>
      </c>
      <c r="C94" t="s">
        <v>138</v>
      </c>
      <c r="D94">
        <v>24</v>
      </c>
      <c r="E94" t="s">
        <v>6</v>
      </c>
      <c r="F94" t="s">
        <v>62</v>
      </c>
      <c r="G94" t="s">
        <v>316</v>
      </c>
    </row>
    <row r="95" spans="1:7" x14ac:dyDescent="0.3">
      <c r="A95">
        <v>1094</v>
      </c>
      <c r="B95" t="s">
        <v>317</v>
      </c>
      <c r="C95" t="s">
        <v>138</v>
      </c>
      <c r="D95">
        <v>45</v>
      </c>
      <c r="E95" t="s">
        <v>55</v>
      </c>
      <c r="F95" t="s">
        <v>57</v>
      </c>
      <c r="G95" t="s">
        <v>264</v>
      </c>
    </row>
    <row r="96" spans="1:7" x14ac:dyDescent="0.3">
      <c r="A96">
        <v>1095</v>
      </c>
      <c r="B96" t="s">
        <v>318</v>
      </c>
      <c r="C96" t="s">
        <v>138</v>
      </c>
      <c r="D96">
        <v>39</v>
      </c>
      <c r="E96" t="s">
        <v>10</v>
      </c>
      <c r="F96" t="s">
        <v>57</v>
      </c>
      <c r="G96" t="s">
        <v>319</v>
      </c>
    </row>
    <row r="97" spans="1:7" x14ac:dyDescent="0.3">
      <c r="A97">
        <v>1096</v>
      </c>
      <c r="B97" t="s">
        <v>320</v>
      </c>
      <c r="C97" t="s">
        <v>143</v>
      </c>
      <c r="D97">
        <v>46</v>
      </c>
      <c r="E97" t="s">
        <v>44</v>
      </c>
      <c r="F97" t="s">
        <v>57</v>
      </c>
      <c r="G97" t="s">
        <v>321</v>
      </c>
    </row>
    <row r="98" spans="1:7" x14ac:dyDescent="0.3">
      <c r="A98">
        <v>1097</v>
      </c>
      <c r="B98" t="s">
        <v>322</v>
      </c>
      <c r="C98" t="s">
        <v>138</v>
      </c>
      <c r="D98">
        <v>56</v>
      </c>
      <c r="E98" t="s">
        <v>61</v>
      </c>
      <c r="F98" t="s">
        <v>53</v>
      </c>
      <c r="G98" t="s">
        <v>323</v>
      </c>
    </row>
    <row r="99" spans="1:7" x14ac:dyDescent="0.3">
      <c r="A99">
        <v>1098</v>
      </c>
      <c r="B99" t="s">
        <v>324</v>
      </c>
      <c r="C99" t="s">
        <v>138</v>
      </c>
      <c r="D99">
        <v>41</v>
      </c>
      <c r="E99" t="s">
        <v>6</v>
      </c>
      <c r="F99" t="s">
        <v>53</v>
      </c>
      <c r="G99" t="s">
        <v>325</v>
      </c>
    </row>
    <row r="100" spans="1:7" x14ac:dyDescent="0.3">
      <c r="A100">
        <v>1099</v>
      </c>
      <c r="B100" t="s">
        <v>326</v>
      </c>
      <c r="C100" t="s">
        <v>143</v>
      </c>
      <c r="D100">
        <v>40</v>
      </c>
      <c r="E100" t="s">
        <v>14</v>
      </c>
      <c r="F100" t="s">
        <v>59</v>
      </c>
      <c r="G100" t="s">
        <v>327</v>
      </c>
    </row>
    <row r="101" spans="1:7" x14ac:dyDescent="0.3">
      <c r="A101">
        <v>1100</v>
      </c>
      <c r="B101" t="s">
        <v>328</v>
      </c>
      <c r="C101" t="s">
        <v>138</v>
      </c>
      <c r="D101">
        <v>44</v>
      </c>
      <c r="E101" t="s">
        <v>55</v>
      </c>
      <c r="F101" t="s">
        <v>50</v>
      </c>
      <c r="G101" t="s">
        <v>329</v>
      </c>
    </row>
    <row r="102" spans="1:7" x14ac:dyDescent="0.3">
      <c r="A102">
        <v>1101</v>
      </c>
      <c r="B102" t="s">
        <v>330</v>
      </c>
      <c r="C102" t="s">
        <v>143</v>
      </c>
      <c r="D102">
        <v>36</v>
      </c>
      <c r="E102" t="s">
        <v>61</v>
      </c>
      <c r="F102" t="s">
        <v>57</v>
      </c>
      <c r="G102" t="s">
        <v>284</v>
      </c>
    </row>
    <row r="103" spans="1:7" x14ac:dyDescent="0.3">
      <c r="A103">
        <v>1102</v>
      </c>
      <c r="B103" t="s">
        <v>331</v>
      </c>
      <c r="C103" t="s">
        <v>143</v>
      </c>
      <c r="D103">
        <v>47</v>
      </c>
      <c r="E103" t="s">
        <v>10</v>
      </c>
      <c r="F103" t="s">
        <v>48</v>
      </c>
      <c r="G103" t="s">
        <v>332</v>
      </c>
    </row>
    <row r="104" spans="1:7" x14ac:dyDescent="0.3">
      <c r="A104">
        <v>1103</v>
      </c>
      <c r="B104" t="s">
        <v>333</v>
      </c>
      <c r="C104" t="s">
        <v>138</v>
      </c>
      <c r="D104">
        <v>26</v>
      </c>
      <c r="E104" t="s">
        <v>14</v>
      </c>
      <c r="F104" t="s">
        <v>59</v>
      </c>
      <c r="G104" t="s">
        <v>334</v>
      </c>
    </row>
    <row r="105" spans="1:7" x14ac:dyDescent="0.3">
      <c r="A105">
        <v>1104</v>
      </c>
      <c r="B105" t="s">
        <v>335</v>
      </c>
      <c r="C105" t="s">
        <v>138</v>
      </c>
      <c r="D105">
        <v>31</v>
      </c>
      <c r="E105" t="s">
        <v>55</v>
      </c>
      <c r="F105" t="s">
        <v>48</v>
      </c>
      <c r="G105" t="s">
        <v>336</v>
      </c>
    </row>
    <row r="106" spans="1:7" x14ac:dyDescent="0.3">
      <c r="A106">
        <v>1105</v>
      </c>
      <c r="B106" t="s">
        <v>337</v>
      </c>
      <c r="C106" t="s">
        <v>143</v>
      </c>
      <c r="D106">
        <v>18</v>
      </c>
      <c r="E106" t="s">
        <v>44</v>
      </c>
      <c r="F106" t="s">
        <v>46</v>
      </c>
      <c r="G106" t="s">
        <v>338</v>
      </c>
    </row>
    <row r="107" spans="1:7" x14ac:dyDescent="0.3">
      <c r="A107">
        <v>1106</v>
      </c>
      <c r="B107" t="s">
        <v>339</v>
      </c>
      <c r="C107" t="s">
        <v>138</v>
      </c>
      <c r="D107">
        <v>42</v>
      </c>
      <c r="E107" t="s">
        <v>18</v>
      </c>
      <c r="F107" t="s">
        <v>50</v>
      </c>
      <c r="G107" t="s">
        <v>340</v>
      </c>
    </row>
    <row r="108" spans="1:7" x14ac:dyDescent="0.3">
      <c r="A108">
        <v>1107</v>
      </c>
      <c r="B108" t="s">
        <v>341</v>
      </c>
      <c r="C108" t="s">
        <v>138</v>
      </c>
      <c r="D108">
        <v>47</v>
      </c>
      <c r="E108" t="s">
        <v>61</v>
      </c>
      <c r="F108" t="s">
        <v>42</v>
      </c>
      <c r="G108" t="s">
        <v>342</v>
      </c>
    </row>
    <row r="109" spans="1:7" x14ac:dyDescent="0.3">
      <c r="A109">
        <v>1108</v>
      </c>
      <c r="B109" t="s">
        <v>343</v>
      </c>
      <c r="C109" t="s">
        <v>143</v>
      </c>
      <c r="D109">
        <v>22</v>
      </c>
      <c r="E109" t="s">
        <v>44</v>
      </c>
      <c r="F109" t="s">
        <v>48</v>
      </c>
      <c r="G109" t="s">
        <v>344</v>
      </c>
    </row>
    <row r="110" spans="1:7" x14ac:dyDescent="0.3">
      <c r="A110">
        <v>1109</v>
      </c>
      <c r="B110" t="s">
        <v>345</v>
      </c>
      <c r="C110" t="s">
        <v>138</v>
      </c>
      <c r="D110">
        <v>50</v>
      </c>
      <c r="E110" t="s">
        <v>14</v>
      </c>
      <c r="F110" t="s">
        <v>48</v>
      </c>
      <c r="G110" t="s">
        <v>346</v>
      </c>
    </row>
    <row r="111" spans="1:7" x14ac:dyDescent="0.3">
      <c r="A111">
        <v>1110</v>
      </c>
      <c r="B111" t="s">
        <v>347</v>
      </c>
      <c r="C111" t="s">
        <v>143</v>
      </c>
      <c r="D111">
        <v>45</v>
      </c>
      <c r="E111" t="s">
        <v>31</v>
      </c>
      <c r="F111" t="s">
        <v>62</v>
      </c>
      <c r="G111" t="s">
        <v>348</v>
      </c>
    </row>
    <row r="112" spans="1:7" x14ac:dyDescent="0.3">
      <c r="A112">
        <v>1111</v>
      </c>
      <c r="B112" t="s">
        <v>349</v>
      </c>
      <c r="C112" t="s">
        <v>138</v>
      </c>
      <c r="D112">
        <v>58</v>
      </c>
      <c r="E112" t="s">
        <v>6</v>
      </c>
      <c r="F112" t="s">
        <v>42</v>
      </c>
      <c r="G112" t="s">
        <v>350</v>
      </c>
    </row>
    <row r="113" spans="1:7" x14ac:dyDescent="0.3">
      <c r="A113">
        <v>1112</v>
      </c>
      <c r="B113" t="s">
        <v>351</v>
      </c>
      <c r="C113" t="s">
        <v>138</v>
      </c>
      <c r="D113">
        <v>49</v>
      </c>
      <c r="E113" t="s">
        <v>44</v>
      </c>
      <c r="F113" t="s">
        <v>59</v>
      </c>
      <c r="G113" t="s">
        <v>352</v>
      </c>
    </row>
    <row r="114" spans="1:7" x14ac:dyDescent="0.3">
      <c r="A114">
        <v>1113</v>
      </c>
      <c r="B114" t="s">
        <v>353</v>
      </c>
      <c r="C114" t="s">
        <v>143</v>
      </c>
      <c r="D114">
        <v>35</v>
      </c>
      <c r="E114" t="s">
        <v>14</v>
      </c>
      <c r="F114" t="s">
        <v>62</v>
      </c>
      <c r="G114" t="s">
        <v>354</v>
      </c>
    </row>
    <row r="115" spans="1:7" x14ac:dyDescent="0.3">
      <c r="A115">
        <v>1114</v>
      </c>
      <c r="B115" t="s">
        <v>355</v>
      </c>
      <c r="C115" t="s">
        <v>138</v>
      </c>
      <c r="D115">
        <v>19</v>
      </c>
      <c r="E115" t="s">
        <v>31</v>
      </c>
      <c r="F115" t="s">
        <v>59</v>
      </c>
      <c r="G115" t="s">
        <v>356</v>
      </c>
    </row>
    <row r="116" spans="1:7" x14ac:dyDescent="0.3">
      <c r="A116">
        <v>1115</v>
      </c>
      <c r="B116" t="s">
        <v>357</v>
      </c>
      <c r="C116" t="s">
        <v>143</v>
      </c>
      <c r="D116">
        <v>38</v>
      </c>
      <c r="E116" t="s">
        <v>10</v>
      </c>
      <c r="F116" t="s">
        <v>59</v>
      </c>
      <c r="G116" t="s">
        <v>358</v>
      </c>
    </row>
    <row r="117" spans="1:7" x14ac:dyDescent="0.3">
      <c r="A117">
        <v>1116</v>
      </c>
      <c r="B117" t="s">
        <v>359</v>
      </c>
      <c r="C117" t="s">
        <v>143</v>
      </c>
      <c r="D117">
        <v>39</v>
      </c>
      <c r="E117" t="s">
        <v>44</v>
      </c>
      <c r="F117" t="s">
        <v>48</v>
      </c>
      <c r="G117" t="s">
        <v>360</v>
      </c>
    </row>
    <row r="118" spans="1:7" x14ac:dyDescent="0.3">
      <c r="A118">
        <v>1117</v>
      </c>
      <c r="B118" t="s">
        <v>361</v>
      </c>
      <c r="C118" t="s">
        <v>143</v>
      </c>
      <c r="D118">
        <v>29</v>
      </c>
      <c r="E118" t="s">
        <v>44</v>
      </c>
      <c r="F118" t="s">
        <v>48</v>
      </c>
      <c r="G118" t="s">
        <v>362</v>
      </c>
    </row>
    <row r="119" spans="1:7" x14ac:dyDescent="0.3">
      <c r="A119">
        <v>1118</v>
      </c>
      <c r="B119" t="s">
        <v>363</v>
      </c>
      <c r="C119" t="s">
        <v>138</v>
      </c>
      <c r="D119">
        <v>37</v>
      </c>
      <c r="E119" t="s">
        <v>61</v>
      </c>
      <c r="F119" t="s">
        <v>42</v>
      </c>
      <c r="G119" t="s">
        <v>364</v>
      </c>
    </row>
    <row r="120" spans="1:7" x14ac:dyDescent="0.3">
      <c r="A120">
        <v>1119</v>
      </c>
      <c r="B120" t="s">
        <v>365</v>
      </c>
      <c r="C120" t="s">
        <v>143</v>
      </c>
      <c r="D120">
        <v>19</v>
      </c>
      <c r="E120" t="s">
        <v>6</v>
      </c>
      <c r="F120" t="s">
        <v>53</v>
      </c>
      <c r="G120" t="s">
        <v>366</v>
      </c>
    </row>
    <row r="121" spans="1:7" x14ac:dyDescent="0.3">
      <c r="A121">
        <v>1120</v>
      </c>
      <c r="B121" t="s">
        <v>367</v>
      </c>
      <c r="C121" t="s">
        <v>143</v>
      </c>
      <c r="D121">
        <v>27</v>
      </c>
      <c r="E121" t="s">
        <v>6</v>
      </c>
      <c r="F121" t="s">
        <v>59</v>
      </c>
      <c r="G121" t="s">
        <v>368</v>
      </c>
    </row>
    <row r="122" spans="1:7" x14ac:dyDescent="0.3">
      <c r="A122">
        <v>1121</v>
      </c>
      <c r="B122" t="s">
        <v>369</v>
      </c>
      <c r="C122" t="s">
        <v>138</v>
      </c>
      <c r="D122">
        <v>60</v>
      </c>
      <c r="E122" t="s">
        <v>6</v>
      </c>
      <c r="F122" t="s">
        <v>62</v>
      </c>
      <c r="G122" t="s">
        <v>370</v>
      </c>
    </row>
    <row r="123" spans="1:7" x14ac:dyDescent="0.3">
      <c r="A123">
        <v>1122</v>
      </c>
      <c r="B123" t="s">
        <v>371</v>
      </c>
      <c r="C123" t="s">
        <v>143</v>
      </c>
      <c r="D123">
        <v>19</v>
      </c>
      <c r="E123" t="s">
        <v>10</v>
      </c>
      <c r="F123" t="s">
        <v>59</v>
      </c>
      <c r="G123" t="s">
        <v>372</v>
      </c>
    </row>
    <row r="124" spans="1:7" x14ac:dyDescent="0.3">
      <c r="A124">
        <v>1123</v>
      </c>
      <c r="B124" t="s">
        <v>373</v>
      </c>
      <c r="C124" t="s">
        <v>143</v>
      </c>
      <c r="D124">
        <v>38</v>
      </c>
      <c r="E124" t="s">
        <v>55</v>
      </c>
      <c r="F124" t="s">
        <v>53</v>
      </c>
      <c r="G124" t="s">
        <v>374</v>
      </c>
    </row>
    <row r="125" spans="1:7" x14ac:dyDescent="0.3">
      <c r="A125">
        <v>1124</v>
      </c>
      <c r="B125" t="s">
        <v>375</v>
      </c>
      <c r="C125" t="s">
        <v>138</v>
      </c>
      <c r="D125">
        <v>41</v>
      </c>
      <c r="E125" t="s">
        <v>44</v>
      </c>
      <c r="F125" t="s">
        <v>48</v>
      </c>
      <c r="G125" t="s">
        <v>376</v>
      </c>
    </row>
    <row r="126" spans="1:7" x14ac:dyDescent="0.3">
      <c r="A126">
        <v>1125</v>
      </c>
      <c r="B126" t="s">
        <v>377</v>
      </c>
      <c r="C126" t="s">
        <v>143</v>
      </c>
      <c r="D126">
        <v>56</v>
      </c>
      <c r="E126" t="s">
        <v>18</v>
      </c>
      <c r="F126" t="s">
        <v>46</v>
      </c>
      <c r="G126" t="s">
        <v>378</v>
      </c>
    </row>
    <row r="127" spans="1:7" x14ac:dyDescent="0.3">
      <c r="A127">
        <v>1126</v>
      </c>
      <c r="B127" t="s">
        <v>379</v>
      </c>
      <c r="C127" t="s">
        <v>143</v>
      </c>
      <c r="D127">
        <v>50</v>
      </c>
      <c r="E127" t="s">
        <v>31</v>
      </c>
      <c r="F127" t="s">
        <v>57</v>
      </c>
      <c r="G127" t="s">
        <v>380</v>
      </c>
    </row>
    <row r="128" spans="1:7" x14ac:dyDescent="0.3">
      <c r="A128">
        <v>1127</v>
      </c>
      <c r="B128" t="s">
        <v>381</v>
      </c>
      <c r="C128" t="s">
        <v>138</v>
      </c>
      <c r="D128">
        <v>23</v>
      </c>
      <c r="E128" t="s">
        <v>14</v>
      </c>
      <c r="F128" t="s">
        <v>50</v>
      </c>
      <c r="G128" t="s">
        <v>382</v>
      </c>
    </row>
    <row r="129" spans="1:7" x14ac:dyDescent="0.3">
      <c r="A129">
        <v>1128</v>
      </c>
      <c r="B129" t="s">
        <v>383</v>
      </c>
      <c r="C129" t="s">
        <v>143</v>
      </c>
      <c r="D129">
        <v>25</v>
      </c>
      <c r="E129" t="s">
        <v>44</v>
      </c>
      <c r="F129" t="s">
        <v>57</v>
      </c>
      <c r="G129" t="s">
        <v>384</v>
      </c>
    </row>
    <row r="130" spans="1:7" x14ac:dyDescent="0.3">
      <c r="A130">
        <v>1129</v>
      </c>
      <c r="B130" t="s">
        <v>385</v>
      </c>
      <c r="C130" t="s">
        <v>138</v>
      </c>
      <c r="D130">
        <v>26</v>
      </c>
      <c r="E130" t="s">
        <v>10</v>
      </c>
      <c r="F130" t="s">
        <v>50</v>
      </c>
      <c r="G130" t="s">
        <v>386</v>
      </c>
    </row>
    <row r="131" spans="1:7" x14ac:dyDescent="0.3">
      <c r="A131">
        <v>1130</v>
      </c>
      <c r="B131" t="s">
        <v>387</v>
      </c>
      <c r="C131" t="s">
        <v>143</v>
      </c>
      <c r="D131">
        <v>50</v>
      </c>
      <c r="E131" t="s">
        <v>44</v>
      </c>
      <c r="F131" t="s">
        <v>42</v>
      </c>
      <c r="G131" t="s">
        <v>378</v>
      </c>
    </row>
    <row r="132" spans="1:7" x14ac:dyDescent="0.3">
      <c r="A132">
        <v>1131</v>
      </c>
      <c r="B132" t="s">
        <v>388</v>
      </c>
      <c r="C132" t="s">
        <v>138</v>
      </c>
      <c r="D132">
        <v>26</v>
      </c>
      <c r="E132" t="s">
        <v>55</v>
      </c>
      <c r="F132" t="s">
        <v>59</v>
      </c>
      <c r="G132" t="s">
        <v>389</v>
      </c>
    </row>
    <row r="133" spans="1:7" x14ac:dyDescent="0.3">
      <c r="A133">
        <v>1132</v>
      </c>
      <c r="B133" t="s">
        <v>390</v>
      </c>
      <c r="C133" t="s">
        <v>138</v>
      </c>
      <c r="D133">
        <v>27</v>
      </c>
      <c r="E133" t="s">
        <v>44</v>
      </c>
      <c r="F133" t="s">
        <v>50</v>
      </c>
      <c r="G133" t="s">
        <v>391</v>
      </c>
    </row>
    <row r="134" spans="1:7" x14ac:dyDescent="0.3">
      <c r="A134">
        <v>1133</v>
      </c>
      <c r="B134" t="s">
        <v>392</v>
      </c>
      <c r="C134" t="s">
        <v>138</v>
      </c>
      <c r="D134">
        <v>51</v>
      </c>
      <c r="E134" t="s">
        <v>31</v>
      </c>
      <c r="F134" t="s">
        <v>53</v>
      </c>
      <c r="G134" t="s">
        <v>393</v>
      </c>
    </row>
    <row r="135" spans="1:7" x14ac:dyDescent="0.3">
      <c r="A135">
        <v>1134</v>
      </c>
      <c r="B135" t="s">
        <v>394</v>
      </c>
      <c r="C135" t="s">
        <v>143</v>
      </c>
      <c r="D135">
        <v>19</v>
      </c>
      <c r="E135" t="s">
        <v>44</v>
      </c>
      <c r="F135" t="s">
        <v>46</v>
      </c>
      <c r="G135" t="s">
        <v>395</v>
      </c>
    </row>
    <row r="136" spans="1:7" x14ac:dyDescent="0.3">
      <c r="A136">
        <v>1135</v>
      </c>
      <c r="B136" t="s">
        <v>396</v>
      </c>
      <c r="C136" t="s">
        <v>138</v>
      </c>
      <c r="D136">
        <v>30</v>
      </c>
      <c r="E136" t="s">
        <v>55</v>
      </c>
      <c r="F136" t="s">
        <v>48</v>
      </c>
      <c r="G136" t="s">
        <v>397</v>
      </c>
    </row>
    <row r="137" spans="1:7" x14ac:dyDescent="0.3">
      <c r="A137">
        <v>1136</v>
      </c>
      <c r="B137" t="s">
        <v>398</v>
      </c>
      <c r="C137" t="s">
        <v>143</v>
      </c>
      <c r="D137">
        <v>49</v>
      </c>
      <c r="E137" t="s">
        <v>44</v>
      </c>
      <c r="F137" t="s">
        <v>42</v>
      </c>
      <c r="G137" t="s">
        <v>399</v>
      </c>
    </row>
    <row r="138" spans="1:7" x14ac:dyDescent="0.3">
      <c r="A138">
        <v>1137</v>
      </c>
      <c r="B138" t="s">
        <v>400</v>
      </c>
      <c r="C138" t="s">
        <v>143</v>
      </c>
      <c r="D138">
        <v>19</v>
      </c>
      <c r="E138" t="s">
        <v>6</v>
      </c>
      <c r="F138" t="s">
        <v>62</v>
      </c>
      <c r="G138" t="s">
        <v>401</v>
      </c>
    </row>
    <row r="139" spans="1:7" x14ac:dyDescent="0.3">
      <c r="A139">
        <v>1138</v>
      </c>
      <c r="B139" t="s">
        <v>402</v>
      </c>
      <c r="C139" t="s">
        <v>138</v>
      </c>
      <c r="D139">
        <v>33</v>
      </c>
      <c r="E139" t="s">
        <v>18</v>
      </c>
      <c r="F139" t="s">
        <v>53</v>
      </c>
      <c r="G139" t="s">
        <v>403</v>
      </c>
    </row>
    <row r="140" spans="1:7" x14ac:dyDescent="0.3">
      <c r="A140">
        <v>1139</v>
      </c>
      <c r="B140" t="s">
        <v>404</v>
      </c>
      <c r="C140" t="s">
        <v>138</v>
      </c>
      <c r="D140">
        <v>43</v>
      </c>
      <c r="E140" t="s">
        <v>61</v>
      </c>
      <c r="F140" t="s">
        <v>53</v>
      </c>
      <c r="G140" t="s">
        <v>405</v>
      </c>
    </row>
    <row r="141" spans="1:7" x14ac:dyDescent="0.3">
      <c r="A141">
        <v>1140</v>
      </c>
      <c r="B141" t="s">
        <v>406</v>
      </c>
      <c r="C141" t="s">
        <v>138</v>
      </c>
      <c r="D141">
        <v>22</v>
      </c>
      <c r="E141" t="s">
        <v>6</v>
      </c>
      <c r="F141" t="s">
        <v>53</v>
      </c>
      <c r="G141" t="s">
        <v>407</v>
      </c>
    </row>
    <row r="142" spans="1:7" x14ac:dyDescent="0.3">
      <c r="A142">
        <v>1141</v>
      </c>
      <c r="B142" t="s">
        <v>408</v>
      </c>
      <c r="C142" t="s">
        <v>143</v>
      </c>
      <c r="D142">
        <v>58</v>
      </c>
      <c r="E142" t="s">
        <v>10</v>
      </c>
      <c r="F142" t="s">
        <v>48</v>
      </c>
      <c r="G142" t="s">
        <v>409</v>
      </c>
    </row>
    <row r="143" spans="1:7" x14ac:dyDescent="0.3">
      <c r="A143">
        <v>1142</v>
      </c>
      <c r="B143" t="s">
        <v>410</v>
      </c>
      <c r="C143" t="s">
        <v>138</v>
      </c>
      <c r="D143">
        <v>37</v>
      </c>
      <c r="E143" t="s">
        <v>55</v>
      </c>
      <c r="F143" t="s">
        <v>48</v>
      </c>
      <c r="G143" t="s">
        <v>370</v>
      </c>
    </row>
    <row r="144" spans="1:7" x14ac:dyDescent="0.3">
      <c r="A144">
        <v>1143</v>
      </c>
      <c r="B144" t="s">
        <v>411</v>
      </c>
      <c r="C144" t="s">
        <v>138</v>
      </c>
      <c r="D144">
        <v>23</v>
      </c>
      <c r="E144" t="s">
        <v>61</v>
      </c>
      <c r="F144" t="s">
        <v>62</v>
      </c>
      <c r="G144" t="s">
        <v>412</v>
      </c>
    </row>
    <row r="145" spans="1:7" x14ac:dyDescent="0.3">
      <c r="A145">
        <v>1144</v>
      </c>
      <c r="B145" t="s">
        <v>413</v>
      </c>
      <c r="C145" t="s">
        <v>138</v>
      </c>
      <c r="D145">
        <v>59</v>
      </c>
      <c r="E145" t="s">
        <v>44</v>
      </c>
      <c r="F145" t="s">
        <v>46</v>
      </c>
      <c r="G145" t="s">
        <v>414</v>
      </c>
    </row>
    <row r="146" spans="1:7" x14ac:dyDescent="0.3">
      <c r="A146">
        <v>1145</v>
      </c>
      <c r="B146" t="s">
        <v>415</v>
      </c>
      <c r="C146" t="s">
        <v>143</v>
      </c>
      <c r="D146">
        <v>18</v>
      </c>
      <c r="E146" t="s">
        <v>18</v>
      </c>
      <c r="F146" t="s">
        <v>48</v>
      </c>
      <c r="G146" t="s">
        <v>242</v>
      </c>
    </row>
    <row r="147" spans="1:7" x14ac:dyDescent="0.3">
      <c r="A147">
        <v>1146</v>
      </c>
      <c r="B147" t="s">
        <v>416</v>
      </c>
      <c r="C147" t="s">
        <v>138</v>
      </c>
      <c r="D147">
        <v>34</v>
      </c>
      <c r="E147" t="s">
        <v>61</v>
      </c>
      <c r="F147" t="s">
        <v>50</v>
      </c>
      <c r="G147" t="s">
        <v>417</v>
      </c>
    </row>
    <row r="148" spans="1:7" x14ac:dyDescent="0.3">
      <c r="A148">
        <v>1147</v>
      </c>
      <c r="B148" t="s">
        <v>418</v>
      </c>
      <c r="C148" t="s">
        <v>138</v>
      </c>
      <c r="D148">
        <v>30</v>
      </c>
      <c r="E148" t="s">
        <v>31</v>
      </c>
      <c r="F148" t="s">
        <v>50</v>
      </c>
      <c r="G148" t="s">
        <v>419</v>
      </c>
    </row>
    <row r="149" spans="1:7" x14ac:dyDescent="0.3">
      <c r="A149">
        <v>1148</v>
      </c>
      <c r="B149" t="s">
        <v>420</v>
      </c>
      <c r="C149" t="s">
        <v>138</v>
      </c>
      <c r="D149">
        <v>49</v>
      </c>
      <c r="E149" t="s">
        <v>6</v>
      </c>
      <c r="F149" t="s">
        <v>53</v>
      </c>
      <c r="G149" t="s">
        <v>421</v>
      </c>
    </row>
    <row r="150" spans="1:7" x14ac:dyDescent="0.3">
      <c r="A150">
        <v>1149</v>
      </c>
      <c r="B150" t="s">
        <v>422</v>
      </c>
      <c r="C150" t="s">
        <v>143</v>
      </c>
      <c r="D150">
        <v>29</v>
      </c>
      <c r="E150" t="s">
        <v>55</v>
      </c>
      <c r="F150" t="s">
        <v>57</v>
      </c>
      <c r="G150" t="s">
        <v>423</v>
      </c>
    </row>
    <row r="151" spans="1:7" x14ac:dyDescent="0.3">
      <c r="A151">
        <v>1150</v>
      </c>
      <c r="B151" t="s">
        <v>424</v>
      </c>
      <c r="C151" t="s">
        <v>138</v>
      </c>
      <c r="D151">
        <v>39</v>
      </c>
      <c r="E151" t="s">
        <v>10</v>
      </c>
      <c r="F151" t="s">
        <v>53</v>
      </c>
      <c r="G151" t="s">
        <v>425</v>
      </c>
    </row>
    <row r="152" spans="1:7" x14ac:dyDescent="0.3">
      <c r="A152">
        <v>1151</v>
      </c>
      <c r="B152" t="s">
        <v>426</v>
      </c>
      <c r="C152" t="s">
        <v>138</v>
      </c>
      <c r="D152">
        <v>42</v>
      </c>
      <c r="E152" t="s">
        <v>18</v>
      </c>
      <c r="F152" t="s">
        <v>62</v>
      </c>
      <c r="G152" t="s">
        <v>427</v>
      </c>
    </row>
    <row r="153" spans="1:7" x14ac:dyDescent="0.3">
      <c r="A153">
        <v>1152</v>
      </c>
      <c r="B153" t="s">
        <v>428</v>
      </c>
      <c r="C153" t="s">
        <v>138</v>
      </c>
      <c r="D153">
        <v>58</v>
      </c>
      <c r="E153" t="s">
        <v>14</v>
      </c>
      <c r="F153" t="s">
        <v>59</v>
      </c>
      <c r="G153" t="s">
        <v>429</v>
      </c>
    </row>
    <row r="154" spans="1:7" x14ac:dyDescent="0.3">
      <c r="A154">
        <v>1153</v>
      </c>
      <c r="B154" t="s">
        <v>430</v>
      </c>
      <c r="C154" t="s">
        <v>138</v>
      </c>
      <c r="D154">
        <v>29</v>
      </c>
      <c r="E154" t="s">
        <v>18</v>
      </c>
      <c r="F154" t="s">
        <v>42</v>
      </c>
      <c r="G154" t="s">
        <v>431</v>
      </c>
    </row>
    <row r="155" spans="1:7" x14ac:dyDescent="0.3">
      <c r="A155">
        <v>1154</v>
      </c>
      <c r="B155" t="s">
        <v>432</v>
      </c>
      <c r="C155" t="s">
        <v>138</v>
      </c>
      <c r="D155">
        <v>32</v>
      </c>
      <c r="E155" t="s">
        <v>61</v>
      </c>
      <c r="F155" t="s">
        <v>42</v>
      </c>
      <c r="G155" t="s">
        <v>433</v>
      </c>
    </row>
    <row r="156" spans="1:7" x14ac:dyDescent="0.3">
      <c r="A156">
        <v>1155</v>
      </c>
      <c r="B156" t="s">
        <v>434</v>
      </c>
      <c r="C156" t="s">
        <v>143</v>
      </c>
      <c r="D156">
        <v>26</v>
      </c>
      <c r="E156" t="s">
        <v>6</v>
      </c>
      <c r="F156" t="s">
        <v>42</v>
      </c>
      <c r="G156" t="s">
        <v>435</v>
      </c>
    </row>
    <row r="157" spans="1:7" x14ac:dyDescent="0.3">
      <c r="A157">
        <v>1156</v>
      </c>
      <c r="B157" t="s">
        <v>436</v>
      </c>
      <c r="C157" t="s">
        <v>138</v>
      </c>
      <c r="D157">
        <v>18</v>
      </c>
      <c r="E157" t="s">
        <v>44</v>
      </c>
      <c r="F157" t="s">
        <v>50</v>
      </c>
      <c r="G157" t="s">
        <v>412</v>
      </c>
    </row>
    <row r="158" spans="1:7" x14ac:dyDescent="0.3">
      <c r="A158">
        <v>1157</v>
      </c>
      <c r="B158" t="s">
        <v>437</v>
      </c>
      <c r="C158" t="s">
        <v>138</v>
      </c>
      <c r="D158">
        <v>59</v>
      </c>
      <c r="E158" t="s">
        <v>14</v>
      </c>
      <c r="F158" t="s">
        <v>59</v>
      </c>
      <c r="G158" t="s">
        <v>438</v>
      </c>
    </row>
    <row r="159" spans="1:7" x14ac:dyDescent="0.3">
      <c r="A159">
        <v>1158</v>
      </c>
      <c r="B159" t="s">
        <v>439</v>
      </c>
      <c r="C159" t="s">
        <v>143</v>
      </c>
      <c r="D159">
        <v>58</v>
      </c>
      <c r="E159" t="s">
        <v>10</v>
      </c>
      <c r="F159" t="s">
        <v>62</v>
      </c>
      <c r="G159" t="s">
        <v>440</v>
      </c>
    </row>
    <row r="160" spans="1:7" x14ac:dyDescent="0.3">
      <c r="A160">
        <v>1159</v>
      </c>
      <c r="B160" t="s">
        <v>441</v>
      </c>
      <c r="C160" t="s">
        <v>143</v>
      </c>
      <c r="D160">
        <v>31</v>
      </c>
      <c r="E160" t="s">
        <v>31</v>
      </c>
      <c r="F160" t="s">
        <v>48</v>
      </c>
      <c r="G160" t="s">
        <v>442</v>
      </c>
    </row>
    <row r="161" spans="1:7" x14ac:dyDescent="0.3">
      <c r="A161">
        <v>1160</v>
      </c>
      <c r="B161" t="s">
        <v>443</v>
      </c>
      <c r="C161" t="s">
        <v>138</v>
      </c>
      <c r="D161">
        <v>41</v>
      </c>
      <c r="E161" t="s">
        <v>6</v>
      </c>
      <c r="F161" t="s">
        <v>59</v>
      </c>
      <c r="G161" t="s">
        <v>444</v>
      </c>
    </row>
    <row r="162" spans="1:7" x14ac:dyDescent="0.3">
      <c r="A162">
        <v>1161</v>
      </c>
      <c r="B162" t="s">
        <v>445</v>
      </c>
      <c r="C162" t="s">
        <v>138</v>
      </c>
      <c r="D162">
        <v>53</v>
      </c>
      <c r="E162" t="s">
        <v>6</v>
      </c>
      <c r="F162" t="s">
        <v>59</v>
      </c>
      <c r="G162" t="s">
        <v>446</v>
      </c>
    </row>
    <row r="163" spans="1:7" x14ac:dyDescent="0.3">
      <c r="A163">
        <v>1162</v>
      </c>
      <c r="B163" t="s">
        <v>447</v>
      </c>
      <c r="C163" t="s">
        <v>138</v>
      </c>
      <c r="D163">
        <v>24</v>
      </c>
      <c r="E163" t="s">
        <v>14</v>
      </c>
      <c r="F163" t="s">
        <v>57</v>
      </c>
      <c r="G163" t="s">
        <v>448</v>
      </c>
    </row>
    <row r="164" spans="1:7" x14ac:dyDescent="0.3">
      <c r="A164">
        <v>1163</v>
      </c>
      <c r="B164" t="s">
        <v>449</v>
      </c>
      <c r="C164" t="s">
        <v>138</v>
      </c>
      <c r="D164">
        <v>34</v>
      </c>
      <c r="E164" t="s">
        <v>31</v>
      </c>
      <c r="F164" t="s">
        <v>57</v>
      </c>
      <c r="G164" t="s">
        <v>450</v>
      </c>
    </row>
    <row r="165" spans="1:7" x14ac:dyDescent="0.3">
      <c r="A165">
        <v>1164</v>
      </c>
      <c r="B165" t="s">
        <v>451</v>
      </c>
      <c r="C165" t="s">
        <v>143</v>
      </c>
      <c r="D165">
        <v>30</v>
      </c>
      <c r="E165" t="s">
        <v>44</v>
      </c>
      <c r="F165" t="s">
        <v>46</v>
      </c>
      <c r="G165" t="s">
        <v>452</v>
      </c>
    </row>
    <row r="166" spans="1:7" x14ac:dyDescent="0.3">
      <c r="A166">
        <v>1165</v>
      </c>
      <c r="B166" t="s">
        <v>453</v>
      </c>
      <c r="C166" t="s">
        <v>143</v>
      </c>
      <c r="D166">
        <v>58</v>
      </c>
      <c r="E166" t="s">
        <v>55</v>
      </c>
      <c r="F166" t="s">
        <v>42</v>
      </c>
      <c r="G166" t="s">
        <v>454</v>
      </c>
    </row>
    <row r="167" spans="1:7" x14ac:dyDescent="0.3">
      <c r="A167">
        <v>1166</v>
      </c>
      <c r="B167" t="s">
        <v>455</v>
      </c>
      <c r="C167" t="s">
        <v>143</v>
      </c>
      <c r="D167">
        <v>40</v>
      </c>
      <c r="E167" t="s">
        <v>14</v>
      </c>
      <c r="F167" t="s">
        <v>59</v>
      </c>
      <c r="G167" t="s">
        <v>456</v>
      </c>
    </row>
    <row r="168" spans="1:7" x14ac:dyDescent="0.3">
      <c r="A168">
        <v>1167</v>
      </c>
      <c r="B168" t="s">
        <v>457</v>
      </c>
      <c r="C168" t="s">
        <v>143</v>
      </c>
      <c r="D168">
        <v>26</v>
      </c>
      <c r="E168" t="s">
        <v>14</v>
      </c>
      <c r="F168" t="s">
        <v>59</v>
      </c>
      <c r="G168" t="s">
        <v>458</v>
      </c>
    </row>
    <row r="169" spans="1:7" x14ac:dyDescent="0.3">
      <c r="A169">
        <v>1168</v>
      </c>
      <c r="B169" t="s">
        <v>459</v>
      </c>
      <c r="C169" t="s">
        <v>138</v>
      </c>
      <c r="D169">
        <v>40</v>
      </c>
      <c r="E169" t="s">
        <v>6</v>
      </c>
      <c r="F169" t="s">
        <v>59</v>
      </c>
      <c r="G169" t="s">
        <v>460</v>
      </c>
    </row>
    <row r="170" spans="1:7" x14ac:dyDescent="0.3">
      <c r="A170">
        <v>1169</v>
      </c>
      <c r="B170" t="s">
        <v>461</v>
      </c>
      <c r="C170" t="s">
        <v>143</v>
      </c>
      <c r="D170">
        <v>24</v>
      </c>
      <c r="E170" t="s">
        <v>10</v>
      </c>
      <c r="F170" t="s">
        <v>42</v>
      </c>
      <c r="G170" t="s">
        <v>462</v>
      </c>
    </row>
    <row r="171" spans="1:7" x14ac:dyDescent="0.3">
      <c r="A171">
        <v>1170</v>
      </c>
      <c r="B171" t="s">
        <v>463</v>
      </c>
      <c r="C171" t="s">
        <v>143</v>
      </c>
      <c r="D171">
        <v>49</v>
      </c>
      <c r="E171" t="s">
        <v>14</v>
      </c>
      <c r="F171" t="s">
        <v>42</v>
      </c>
      <c r="G171" t="s">
        <v>464</v>
      </c>
    </row>
    <row r="172" spans="1:7" x14ac:dyDescent="0.3">
      <c r="A172">
        <v>1171</v>
      </c>
      <c r="B172" t="s">
        <v>465</v>
      </c>
      <c r="C172" t="s">
        <v>143</v>
      </c>
      <c r="D172">
        <v>24</v>
      </c>
      <c r="E172" t="s">
        <v>55</v>
      </c>
      <c r="F172" t="s">
        <v>57</v>
      </c>
      <c r="G172" t="s">
        <v>466</v>
      </c>
    </row>
    <row r="173" spans="1:7" x14ac:dyDescent="0.3">
      <c r="A173">
        <v>1172</v>
      </c>
      <c r="B173" t="s">
        <v>467</v>
      </c>
      <c r="C173" t="s">
        <v>143</v>
      </c>
      <c r="D173">
        <v>22</v>
      </c>
      <c r="E173" t="s">
        <v>61</v>
      </c>
      <c r="F173" t="s">
        <v>42</v>
      </c>
      <c r="G173" t="s">
        <v>468</v>
      </c>
    </row>
    <row r="174" spans="1:7" x14ac:dyDescent="0.3">
      <c r="A174">
        <v>1173</v>
      </c>
      <c r="B174" t="s">
        <v>469</v>
      </c>
      <c r="C174" t="s">
        <v>143</v>
      </c>
      <c r="D174">
        <v>56</v>
      </c>
      <c r="E174" t="s">
        <v>14</v>
      </c>
      <c r="F174" t="s">
        <v>50</v>
      </c>
      <c r="G174" t="s">
        <v>391</v>
      </c>
    </row>
    <row r="175" spans="1:7" x14ac:dyDescent="0.3">
      <c r="A175">
        <v>1174</v>
      </c>
      <c r="B175" t="s">
        <v>470</v>
      </c>
      <c r="C175" t="s">
        <v>143</v>
      </c>
      <c r="D175">
        <v>37</v>
      </c>
      <c r="E175" t="s">
        <v>44</v>
      </c>
      <c r="F175" t="s">
        <v>42</v>
      </c>
      <c r="G175" t="s">
        <v>471</v>
      </c>
    </row>
    <row r="176" spans="1:7" x14ac:dyDescent="0.3">
      <c r="A176">
        <v>1175</v>
      </c>
      <c r="B176" t="s">
        <v>472</v>
      </c>
      <c r="C176" t="s">
        <v>143</v>
      </c>
      <c r="D176">
        <v>49</v>
      </c>
      <c r="E176" t="s">
        <v>55</v>
      </c>
      <c r="F176" t="s">
        <v>59</v>
      </c>
      <c r="G176" t="s">
        <v>473</v>
      </c>
    </row>
    <row r="177" spans="1:7" x14ac:dyDescent="0.3">
      <c r="A177">
        <v>1176</v>
      </c>
      <c r="B177" t="s">
        <v>474</v>
      </c>
      <c r="C177" t="s">
        <v>143</v>
      </c>
      <c r="D177">
        <v>21</v>
      </c>
      <c r="E177" t="s">
        <v>61</v>
      </c>
      <c r="F177" t="s">
        <v>42</v>
      </c>
      <c r="G177" t="s">
        <v>475</v>
      </c>
    </row>
    <row r="178" spans="1:7" x14ac:dyDescent="0.3">
      <c r="A178">
        <v>1177</v>
      </c>
      <c r="B178" t="s">
        <v>476</v>
      </c>
      <c r="C178" t="s">
        <v>143</v>
      </c>
      <c r="D178">
        <v>32</v>
      </c>
      <c r="E178" t="s">
        <v>55</v>
      </c>
      <c r="F178" t="s">
        <v>42</v>
      </c>
      <c r="G178" t="s">
        <v>477</v>
      </c>
    </row>
    <row r="179" spans="1:7" x14ac:dyDescent="0.3">
      <c r="A179">
        <v>1178</v>
      </c>
      <c r="B179" t="s">
        <v>478</v>
      </c>
      <c r="C179" t="s">
        <v>138</v>
      </c>
      <c r="D179">
        <v>29</v>
      </c>
      <c r="E179" t="s">
        <v>14</v>
      </c>
      <c r="F179" t="s">
        <v>46</v>
      </c>
      <c r="G179" t="s">
        <v>211</v>
      </c>
    </row>
    <row r="180" spans="1:7" x14ac:dyDescent="0.3">
      <c r="A180">
        <v>1179</v>
      </c>
      <c r="B180" t="s">
        <v>479</v>
      </c>
      <c r="C180" t="s">
        <v>143</v>
      </c>
      <c r="D180">
        <v>57</v>
      </c>
      <c r="E180" t="s">
        <v>31</v>
      </c>
      <c r="F180" t="s">
        <v>48</v>
      </c>
      <c r="G180" t="s">
        <v>176</v>
      </c>
    </row>
    <row r="181" spans="1:7" x14ac:dyDescent="0.3">
      <c r="A181">
        <v>1180</v>
      </c>
      <c r="B181" t="s">
        <v>480</v>
      </c>
      <c r="C181" t="s">
        <v>143</v>
      </c>
      <c r="D181">
        <v>46</v>
      </c>
      <c r="E181" t="s">
        <v>14</v>
      </c>
      <c r="F181" t="s">
        <v>42</v>
      </c>
      <c r="G181" t="s">
        <v>481</v>
      </c>
    </row>
    <row r="182" spans="1:7" x14ac:dyDescent="0.3">
      <c r="A182">
        <v>1181</v>
      </c>
      <c r="B182" t="s">
        <v>482</v>
      </c>
      <c r="C182" t="s">
        <v>138</v>
      </c>
      <c r="D182">
        <v>22</v>
      </c>
      <c r="E182" t="s">
        <v>44</v>
      </c>
      <c r="F182" t="s">
        <v>46</v>
      </c>
      <c r="G182" t="s">
        <v>483</v>
      </c>
    </row>
    <row r="183" spans="1:7" x14ac:dyDescent="0.3">
      <c r="A183">
        <v>1182</v>
      </c>
      <c r="B183" t="s">
        <v>484</v>
      </c>
      <c r="C183" t="s">
        <v>138</v>
      </c>
      <c r="D183">
        <v>34</v>
      </c>
      <c r="E183" t="s">
        <v>18</v>
      </c>
      <c r="F183" t="s">
        <v>46</v>
      </c>
      <c r="G183" t="s">
        <v>485</v>
      </c>
    </row>
    <row r="184" spans="1:7" x14ac:dyDescent="0.3">
      <c r="A184">
        <v>1183</v>
      </c>
      <c r="B184" t="s">
        <v>486</v>
      </c>
      <c r="C184" t="s">
        <v>143</v>
      </c>
      <c r="D184">
        <v>19</v>
      </c>
      <c r="E184" t="s">
        <v>14</v>
      </c>
      <c r="F184" t="s">
        <v>59</v>
      </c>
      <c r="G184" t="s">
        <v>213</v>
      </c>
    </row>
    <row r="185" spans="1:7" x14ac:dyDescent="0.3">
      <c r="A185">
        <v>1184</v>
      </c>
      <c r="B185" t="s">
        <v>487</v>
      </c>
      <c r="C185" t="s">
        <v>143</v>
      </c>
      <c r="D185">
        <v>47</v>
      </c>
      <c r="E185" t="s">
        <v>55</v>
      </c>
      <c r="F185" t="s">
        <v>53</v>
      </c>
      <c r="G185" t="s">
        <v>488</v>
      </c>
    </row>
    <row r="186" spans="1:7" x14ac:dyDescent="0.3">
      <c r="A186">
        <v>1185</v>
      </c>
      <c r="B186" t="s">
        <v>489</v>
      </c>
      <c r="C186" t="s">
        <v>138</v>
      </c>
      <c r="D186">
        <v>23</v>
      </c>
      <c r="E186" t="s">
        <v>6</v>
      </c>
      <c r="F186" t="s">
        <v>42</v>
      </c>
      <c r="G186" t="s">
        <v>460</v>
      </c>
    </row>
    <row r="187" spans="1:7" x14ac:dyDescent="0.3">
      <c r="A187">
        <v>1186</v>
      </c>
      <c r="B187" t="s">
        <v>490</v>
      </c>
      <c r="C187" t="s">
        <v>138</v>
      </c>
      <c r="D187">
        <v>45</v>
      </c>
      <c r="E187" t="s">
        <v>18</v>
      </c>
      <c r="F187" t="s">
        <v>62</v>
      </c>
      <c r="G187" t="s">
        <v>150</v>
      </c>
    </row>
    <row r="188" spans="1:7" x14ac:dyDescent="0.3">
      <c r="A188">
        <v>1187</v>
      </c>
      <c r="B188" t="s">
        <v>491</v>
      </c>
      <c r="C188" t="s">
        <v>138</v>
      </c>
      <c r="D188">
        <v>59</v>
      </c>
      <c r="E188" t="s">
        <v>10</v>
      </c>
      <c r="F188" t="s">
        <v>62</v>
      </c>
      <c r="G188" t="s">
        <v>492</v>
      </c>
    </row>
    <row r="189" spans="1:7" x14ac:dyDescent="0.3">
      <c r="A189">
        <v>1188</v>
      </c>
      <c r="B189" t="s">
        <v>493</v>
      </c>
      <c r="C189" t="s">
        <v>143</v>
      </c>
      <c r="D189">
        <v>24</v>
      </c>
      <c r="E189" t="s">
        <v>31</v>
      </c>
      <c r="F189" t="s">
        <v>59</v>
      </c>
      <c r="G189" t="s">
        <v>494</v>
      </c>
    </row>
    <row r="190" spans="1:7" x14ac:dyDescent="0.3">
      <c r="A190">
        <v>1189</v>
      </c>
      <c r="B190" t="s">
        <v>495</v>
      </c>
      <c r="C190" t="s">
        <v>138</v>
      </c>
      <c r="D190">
        <v>33</v>
      </c>
      <c r="E190" t="s">
        <v>18</v>
      </c>
      <c r="F190" t="s">
        <v>59</v>
      </c>
      <c r="G190" t="s">
        <v>496</v>
      </c>
    </row>
    <row r="191" spans="1:7" x14ac:dyDescent="0.3">
      <c r="A191">
        <v>1190</v>
      </c>
      <c r="B191" t="s">
        <v>497</v>
      </c>
      <c r="C191" t="s">
        <v>138</v>
      </c>
      <c r="D191">
        <v>51</v>
      </c>
      <c r="E191" t="s">
        <v>14</v>
      </c>
      <c r="F191" t="s">
        <v>46</v>
      </c>
      <c r="G191" t="s">
        <v>176</v>
      </c>
    </row>
    <row r="192" spans="1:7" x14ac:dyDescent="0.3">
      <c r="A192">
        <v>1191</v>
      </c>
      <c r="B192" t="s">
        <v>498</v>
      </c>
      <c r="C192" t="s">
        <v>138</v>
      </c>
      <c r="D192">
        <v>33</v>
      </c>
      <c r="E192" t="s">
        <v>55</v>
      </c>
      <c r="F192" t="s">
        <v>59</v>
      </c>
      <c r="G192" t="s">
        <v>499</v>
      </c>
    </row>
    <row r="193" spans="1:7" x14ac:dyDescent="0.3">
      <c r="A193">
        <v>1192</v>
      </c>
      <c r="B193" t="s">
        <v>500</v>
      </c>
      <c r="C193" t="s">
        <v>138</v>
      </c>
      <c r="D193">
        <v>54</v>
      </c>
      <c r="E193" t="s">
        <v>44</v>
      </c>
      <c r="F193" t="s">
        <v>59</v>
      </c>
      <c r="G193" t="s">
        <v>501</v>
      </c>
    </row>
    <row r="194" spans="1:7" x14ac:dyDescent="0.3">
      <c r="A194">
        <v>1193</v>
      </c>
      <c r="B194" t="s">
        <v>502</v>
      </c>
      <c r="C194" t="s">
        <v>138</v>
      </c>
      <c r="D194">
        <v>60</v>
      </c>
      <c r="E194" t="s">
        <v>61</v>
      </c>
      <c r="F194" t="s">
        <v>48</v>
      </c>
      <c r="G194" t="s">
        <v>503</v>
      </c>
    </row>
    <row r="195" spans="1:7" x14ac:dyDescent="0.3">
      <c r="A195">
        <v>1194</v>
      </c>
      <c r="B195" t="s">
        <v>504</v>
      </c>
      <c r="C195" t="s">
        <v>143</v>
      </c>
      <c r="D195">
        <v>26</v>
      </c>
      <c r="E195" t="s">
        <v>55</v>
      </c>
      <c r="F195" t="s">
        <v>59</v>
      </c>
      <c r="G195" t="s">
        <v>201</v>
      </c>
    </row>
    <row r="196" spans="1:7" x14ac:dyDescent="0.3">
      <c r="A196">
        <v>1195</v>
      </c>
      <c r="B196" t="s">
        <v>505</v>
      </c>
      <c r="C196" t="s">
        <v>138</v>
      </c>
      <c r="D196">
        <v>58</v>
      </c>
      <c r="E196" t="s">
        <v>10</v>
      </c>
      <c r="F196" t="s">
        <v>46</v>
      </c>
      <c r="G196" t="s">
        <v>506</v>
      </c>
    </row>
    <row r="197" spans="1:7" x14ac:dyDescent="0.3">
      <c r="A197">
        <v>1196</v>
      </c>
      <c r="B197" t="s">
        <v>507</v>
      </c>
      <c r="C197" t="s">
        <v>143</v>
      </c>
      <c r="D197">
        <v>19</v>
      </c>
      <c r="E197" t="s">
        <v>18</v>
      </c>
      <c r="F197" t="s">
        <v>42</v>
      </c>
      <c r="G197" t="s">
        <v>508</v>
      </c>
    </row>
    <row r="198" spans="1:7" x14ac:dyDescent="0.3">
      <c r="A198">
        <v>1197</v>
      </c>
      <c r="B198" t="s">
        <v>509</v>
      </c>
      <c r="C198" t="s">
        <v>138</v>
      </c>
      <c r="D198">
        <v>25</v>
      </c>
      <c r="E198" t="s">
        <v>55</v>
      </c>
      <c r="F198" t="s">
        <v>50</v>
      </c>
      <c r="G198" t="s">
        <v>483</v>
      </c>
    </row>
    <row r="199" spans="1:7" x14ac:dyDescent="0.3">
      <c r="A199">
        <v>1198</v>
      </c>
      <c r="B199" t="s">
        <v>510</v>
      </c>
      <c r="C199" t="s">
        <v>138</v>
      </c>
      <c r="D199">
        <v>44</v>
      </c>
      <c r="E199" t="s">
        <v>31</v>
      </c>
      <c r="F199" t="s">
        <v>50</v>
      </c>
      <c r="G199" t="s">
        <v>511</v>
      </c>
    </row>
    <row r="200" spans="1:7" x14ac:dyDescent="0.3">
      <c r="A200">
        <v>1199</v>
      </c>
      <c r="B200" t="s">
        <v>512</v>
      </c>
      <c r="C200" t="s">
        <v>138</v>
      </c>
      <c r="D200">
        <v>33</v>
      </c>
      <c r="E200" t="s">
        <v>61</v>
      </c>
      <c r="F200" t="s">
        <v>48</v>
      </c>
      <c r="G200" t="s">
        <v>297</v>
      </c>
    </row>
    <row r="201" spans="1:7" x14ac:dyDescent="0.3">
      <c r="A201">
        <v>1200</v>
      </c>
      <c r="B201" t="s">
        <v>513</v>
      </c>
      <c r="C201" t="s">
        <v>138</v>
      </c>
      <c r="D201">
        <v>21</v>
      </c>
      <c r="E201" t="s">
        <v>18</v>
      </c>
      <c r="F201" t="s">
        <v>42</v>
      </c>
      <c r="G20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A69E-F0C2-453C-B9F0-30B78831ECEA}">
  <dimension ref="A1:N503"/>
  <sheetViews>
    <sheetView workbookViewId="0">
      <selection activeCell="N3" sqref="N3"/>
    </sheetView>
  </sheetViews>
  <sheetFormatPr defaultRowHeight="14.4" x14ac:dyDescent="0.3"/>
  <cols>
    <col min="1" max="1" width="17.77734375" customWidth="1"/>
    <col min="2" max="2" width="19.6640625" customWidth="1"/>
    <col min="3" max="3" width="16.6640625" customWidth="1"/>
    <col min="4" max="4" width="16" customWidth="1"/>
    <col min="5" max="5" width="16.88671875" customWidth="1"/>
    <col min="6" max="6" width="15.6640625" customWidth="1"/>
    <col min="7" max="7" width="16.6640625" customWidth="1"/>
    <col min="8" max="8" width="17.33203125" customWidth="1"/>
    <col min="9" max="9" width="13.21875" customWidth="1"/>
    <col min="10" max="10" width="18.5546875" customWidth="1"/>
    <col min="11" max="11" width="19.5546875" customWidth="1"/>
    <col min="12" max="12" width="17.6640625" customWidth="1"/>
    <col min="13" max="13" width="19.33203125" customWidth="1"/>
    <col min="14" max="14" width="21.77734375" customWidth="1"/>
  </cols>
  <sheetData>
    <row r="1" spans="1:14" x14ac:dyDescent="0.3">
      <c r="A1" t="s">
        <v>514</v>
      </c>
      <c r="B1" t="s">
        <v>132</v>
      </c>
      <c r="C1" t="s">
        <v>65</v>
      </c>
      <c r="D1" t="s">
        <v>39</v>
      </c>
      <c r="E1" t="s">
        <v>515</v>
      </c>
      <c r="F1" t="s">
        <v>516</v>
      </c>
      <c r="G1" t="s">
        <v>517</v>
      </c>
      <c r="H1" t="s">
        <v>518</v>
      </c>
      <c r="I1" t="s">
        <v>519</v>
      </c>
      <c r="J1" t="s">
        <v>1306</v>
      </c>
      <c r="K1" t="s">
        <v>1307</v>
      </c>
      <c r="L1" t="s">
        <v>1308</v>
      </c>
      <c r="M1" t="s">
        <v>1309</v>
      </c>
      <c r="N1" t="s">
        <v>1310</v>
      </c>
    </row>
    <row r="2" spans="1:14" x14ac:dyDescent="0.3">
      <c r="A2" t="s">
        <v>520</v>
      </c>
      <c r="B2">
        <v>1029</v>
      </c>
      <c r="C2" t="s">
        <v>126</v>
      </c>
      <c r="D2" t="s">
        <v>50</v>
      </c>
      <c r="E2" t="s">
        <v>521</v>
      </c>
      <c r="F2">
        <v>4</v>
      </c>
      <c r="G2">
        <v>326193.52</v>
      </c>
      <c r="H2" t="s">
        <v>522</v>
      </c>
      <c r="I2">
        <v>2025</v>
      </c>
      <c r="J2" t="str">
        <f>_xlfn.XLOOKUP(sales[[#This Row],[Product_ID]],products[Product_ID],products[Product_Name])</f>
        <v>Router 28</v>
      </c>
      <c r="K2" t="str">
        <f>_xlfn.XLOOKUP(sales[[#This Row],[Store_ID]],stores[Store_ID],stores[Store_Name])</f>
        <v>Guntur Store</v>
      </c>
      <c r="L2" t="str">
        <f>_xlfn.XLOOKUP(sales[[#This Row],[Customer_ID]],customers[Customer_ID],customers[Customer_Name])</f>
        <v>Kiran_29</v>
      </c>
      <c r="M2" t="str">
        <f>IF(sales[[#This Row],[Total_Amount]]&gt;=50000,"High Sales","Low Sales")</f>
        <v>High Sales</v>
      </c>
      <c r="N2">
        <f>sales[[#This Row],[Total_Amount]]/sales[[#This Row],[Quantity]]</f>
        <v>81548.38</v>
      </c>
    </row>
    <row r="3" spans="1:14" x14ac:dyDescent="0.3">
      <c r="A3" t="s">
        <v>523</v>
      </c>
      <c r="B3">
        <v>1012</v>
      </c>
      <c r="C3" t="s">
        <v>124</v>
      </c>
      <c r="D3" t="s">
        <v>62</v>
      </c>
      <c r="E3" t="s">
        <v>524</v>
      </c>
      <c r="F3">
        <v>5</v>
      </c>
      <c r="G3">
        <v>89514.6</v>
      </c>
      <c r="H3" t="s">
        <v>525</v>
      </c>
      <c r="I3">
        <v>2025</v>
      </c>
      <c r="J3" t="str">
        <f>_xlfn.XLOOKUP(sales[[#This Row],[Product_ID]],products[Product_ID],products[Product_Name])</f>
        <v>Mixer 27</v>
      </c>
      <c r="K3" t="str">
        <f>_xlfn.XLOOKUP(sales[[#This Row],[Store_ID]],stores[Store_ID],stores[Store_Name])</f>
        <v>Pune Store</v>
      </c>
      <c r="L3" t="str">
        <f>_xlfn.XLOOKUP(sales[[#This Row],[Customer_ID]],customers[Customer_ID],customers[Customer_Name])</f>
        <v>Anjali_12</v>
      </c>
      <c r="M3" t="str">
        <f>IF(sales[[#This Row],[Total_Amount]]&gt;=50000,"High Sales","Low Sales")</f>
        <v>High Sales</v>
      </c>
      <c r="N3">
        <f>sales[[#This Row],[Total_Amount]]/sales[[#This Row],[Quantity]]</f>
        <v>17902.920000000002</v>
      </c>
    </row>
    <row r="4" spans="1:14" x14ac:dyDescent="0.3">
      <c r="A4" t="s">
        <v>526</v>
      </c>
      <c r="B4">
        <v>1193</v>
      </c>
      <c r="C4" t="s">
        <v>120</v>
      </c>
      <c r="D4" t="s">
        <v>48</v>
      </c>
      <c r="E4" t="s">
        <v>527</v>
      </c>
      <c r="F4">
        <v>2</v>
      </c>
      <c r="G4">
        <v>133138.98000000001</v>
      </c>
      <c r="H4" t="s">
        <v>528</v>
      </c>
      <c r="I4">
        <v>2025</v>
      </c>
      <c r="J4" t="str">
        <f>_xlfn.XLOOKUP(sales[[#This Row],[Product_ID]],products[Product_ID],products[Product_Name])</f>
        <v>Printer 25</v>
      </c>
      <c r="K4" t="str">
        <f>_xlfn.XLOOKUP(sales[[#This Row],[Store_ID]],stores[Store_ID],stores[Store_Name])</f>
        <v>Visakhapatnam Store</v>
      </c>
      <c r="L4" t="str">
        <f>_xlfn.XLOOKUP(sales[[#This Row],[Customer_ID]],customers[Customer_ID],customers[Customer_Name])</f>
        <v>Priya_193</v>
      </c>
      <c r="M4" t="str">
        <f>IF(sales[[#This Row],[Total_Amount]]&gt;=50000,"High Sales","Low Sales")</f>
        <v>High Sales</v>
      </c>
      <c r="N4">
        <f>sales[[#This Row],[Total_Amount]]/sales[[#This Row],[Quantity]]</f>
        <v>66569.490000000005</v>
      </c>
    </row>
    <row r="5" spans="1:14" x14ac:dyDescent="0.3">
      <c r="A5" t="s">
        <v>529</v>
      </c>
      <c r="B5">
        <v>1039</v>
      </c>
      <c r="C5" t="s">
        <v>104</v>
      </c>
      <c r="D5" t="s">
        <v>53</v>
      </c>
      <c r="E5" t="s">
        <v>530</v>
      </c>
      <c r="F5">
        <v>3</v>
      </c>
      <c r="G5">
        <v>127290.6</v>
      </c>
      <c r="H5" t="s">
        <v>531</v>
      </c>
      <c r="I5">
        <v>2025</v>
      </c>
      <c r="J5" t="str">
        <f>_xlfn.XLOOKUP(sales[[#This Row],[Product_ID]],products[Product_ID],products[Product_Name])</f>
        <v>Mixer 17</v>
      </c>
      <c r="K5" t="str">
        <f>_xlfn.XLOOKUP(sales[[#This Row],[Store_ID]],stores[Store_ID],stores[Store_Name])</f>
        <v>Warangal Store</v>
      </c>
      <c r="L5" t="str">
        <f>_xlfn.XLOOKUP(sales[[#This Row],[Customer_ID]],customers[Customer_ID],customers[Customer_Name])</f>
        <v>Ramesh_39</v>
      </c>
      <c r="M5" t="str">
        <f>IF(sales[[#This Row],[Total_Amount]]&gt;=50000,"High Sales","Low Sales")</f>
        <v>High Sales</v>
      </c>
      <c r="N5">
        <f>sales[[#This Row],[Total_Amount]]/sales[[#This Row],[Quantity]]</f>
        <v>42430.200000000004</v>
      </c>
    </row>
    <row r="6" spans="1:14" x14ac:dyDescent="0.3">
      <c r="A6" t="s">
        <v>532</v>
      </c>
      <c r="B6">
        <v>1176</v>
      </c>
      <c r="C6" t="s">
        <v>86</v>
      </c>
      <c r="D6" t="s">
        <v>48</v>
      </c>
      <c r="E6" t="s">
        <v>533</v>
      </c>
      <c r="F6">
        <v>1</v>
      </c>
      <c r="G6">
        <v>22135.02</v>
      </c>
      <c r="H6" t="s">
        <v>534</v>
      </c>
      <c r="I6">
        <v>2025</v>
      </c>
      <c r="J6" t="str">
        <f>_xlfn.XLOOKUP(sales[[#This Row],[Product_ID]],products[Product_ID],products[Product_Name])</f>
        <v>Laptop 8</v>
      </c>
      <c r="K6" t="str">
        <f>_xlfn.XLOOKUP(sales[[#This Row],[Store_ID]],stores[Store_ID],stores[Store_Name])</f>
        <v>Visakhapatnam Store</v>
      </c>
      <c r="L6" t="str">
        <f>_xlfn.XLOOKUP(sales[[#This Row],[Customer_ID]],customers[Customer_ID],customers[Customer_Name])</f>
        <v>Vikram_176</v>
      </c>
      <c r="M6" t="str">
        <f>IF(sales[[#This Row],[Total_Amount]]&gt;=50000,"High Sales","Low Sales")</f>
        <v>Low Sales</v>
      </c>
      <c r="N6">
        <f>sales[[#This Row],[Total_Amount]]/sales[[#This Row],[Quantity]]</f>
        <v>22135.02</v>
      </c>
    </row>
    <row r="7" spans="1:14" x14ac:dyDescent="0.3">
      <c r="A7" t="s">
        <v>535</v>
      </c>
      <c r="B7">
        <v>1132</v>
      </c>
      <c r="C7" t="s">
        <v>120</v>
      </c>
      <c r="D7" t="s">
        <v>59</v>
      </c>
      <c r="E7" t="s">
        <v>536</v>
      </c>
      <c r="F7">
        <v>2</v>
      </c>
      <c r="G7">
        <v>131294.64000000001</v>
      </c>
      <c r="H7" t="s">
        <v>537</v>
      </c>
      <c r="I7">
        <v>2025</v>
      </c>
      <c r="J7" t="str">
        <f>_xlfn.XLOOKUP(sales[[#This Row],[Product_ID]],products[Product_ID],products[Product_Name])</f>
        <v>Printer 25</v>
      </c>
      <c r="K7" t="str">
        <f>_xlfn.XLOOKUP(sales[[#This Row],[Store_ID]],stores[Store_ID],stores[Store_Name])</f>
        <v>Chennai Store</v>
      </c>
      <c r="L7" t="str">
        <f>_xlfn.XLOOKUP(sales[[#This Row],[Customer_ID]],customers[Customer_ID],customers[Customer_Name])</f>
        <v>Pooja_132</v>
      </c>
      <c r="M7" t="str">
        <f>IF(sales[[#This Row],[Total_Amount]]&gt;=50000,"High Sales","Low Sales")</f>
        <v>High Sales</v>
      </c>
      <c r="N7">
        <f>sales[[#This Row],[Total_Amount]]/sales[[#This Row],[Quantity]]</f>
        <v>65647.320000000007</v>
      </c>
    </row>
    <row r="8" spans="1:14" x14ac:dyDescent="0.3">
      <c r="A8" t="s">
        <v>538</v>
      </c>
      <c r="B8">
        <v>1182</v>
      </c>
      <c r="C8" t="s">
        <v>88</v>
      </c>
      <c r="D8" t="s">
        <v>46</v>
      </c>
      <c r="E8" t="s">
        <v>539</v>
      </c>
      <c r="F8">
        <v>4</v>
      </c>
      <c r="G8">
        <v>399308.6</v>
      </c>
      <c r="H8" t="s">
        <v>540</v>
      </c>
      <c r="I8">
        <v>2025</v>
      </c>
      <c r="J8" t="str">
        <f>_xlfn.XLOOKUP(sales[[#This Row],[Product_ID]],products[Product_ID],products[Product_Name])</f>
        <v>Headphones 9</v>
      </c>
      <c r="K8" t="str">
        <f>_xlfn.XLOOKUP(sales[[#This Row],[Store_ID]],stores[Store_ID],stores[Store_Name])</f>
        <v>Vijayawada Store</v>
      </c>
      <c r="L8" t="str">
        <f>_xlfn.XLOOKUP(sales[[#This Row],[Customer_ID]],customers[Customer_ID],customers[Customer_Name])</f>
        <v>Keerthi_182</v>
      </c>
      <c r="M8" t="str">
        <f>IF(sales[[#This Row],[Total_Amount]]&gt;=50000,"High Sales","Low Sales")</f>
        <v>High Sales</v>
      </c>
      <c r="N8">
        <f>sales[[#This Row],[Total_Amount]]/sales[[#This Row],[Quantity]]</f>
        <v>99827.15</v>
      </c>
    </row>
    <row r="9" spans="1:14" x14ac:dyDescent="0.3">
      <c r="A9" t="s">
        <v>541</v>
      </c>
      <c r="B9">
        <v>1082</v>
      </c>
      <c r="C9" t="s">
        <v>84</v>
      </c>
      <c r="D9" t="s">
        <v>53</v>
      </c>
      <c r="E9" t="s">
        <v>542</v>
      </c>
      <c r="F9">
        <v>2</v>
      </c>
      <c r="G9">
        <v>6230.88</v>
      </c>
      <c r="H9" t="s">
        <v>525</v>
      </c>
      <c r="I9">
        <v>2026</v>
      </c>
      <c r="J9" t="str">
        <f>_xlfn.XLOOKUP(sales[[#This Row],[Product_ID]],products[Product_ID],products[Product_Name])</f>
        <v>Headphones 7</v>
      </c>
      <c r="K9" t="str">
        <f>_xlfn.XLOOKUP(sales[[#This Row],[Store_ID]],stores[Store_ID],stores[Store_Name])</f>
        <v>Warangal Store</v>
      </c>
      <c r="L9" t="str">
        <f>_xlfn.XLOOKUP(sales[[#This Row],[Customer_ID]],customers[Customer_ID],customers[Customer_Name])</f>
        <v>Keerthi_82</v>
      </c>
      <c r="M9" t="str">
        <f>IF(sales[[#This Row],[Total_Amount]]&gt;=50000,"High Sales","Low Sales")</f>
        <v>Low Sales</v>
      </c>
      <c r="N9">
        <f>sales[[#This Row],[Total_Amount]]/sales[[#This Row],[Quantity]]</f>
        <v>3115.44</v>
      </c>
    </row>
    <row r="10" spans="1:14" x14ac:dyDescent="0.3">
      <c r="A10" t="s">
        <v>543</v>
      </c>
      <c r="B10">
        <v>1008</v>
      </c>
      <c r="C10" t="s">
        <v>96</v>
      </c>
      <c r="D10" t="s">
        <v>57</v>
      </c>
      <c r="E10" t="s">
        <v>544</v>
      </c>
      <c r="F10">
        <v>1</v>
      </c>
      <c r="G10">
        <v>110394.47</v>
      </c>
      <c r="H10" t="s">
        <v>545</v>
      </c>
      <c r="I10">
        <v>2025</v>
      </c>
      <c r="J10" t="str">
        <f>_xlfn.XLOOKUP(sales[[#This Row],[Product_ID]],products[Product_ID],products[Product_Name])</f>
        <v>Printer 13</v>
      </c>
      <c r="K10" t="str">
        <f>_xlfn.XLOOKUP(sales[[#This Row],[Store_ID]],stores[Store_ID],stores[Store_Name])</f>
        <v>Bengaluru Store</v>
      </c>
      <c r="L10" t="str">
        <f>_xlfn.XLOOKUP(sales[[#This Row],[Customer_ID]],customers[Customer_ID],customers[Customer_Name])</f>
        <v>Akhil_8</v>
      </c>
      <c r="M10" t="str">
        <f>IF(sales[[#This Row],[Total_Amount]]&gt;=50000,"High Sales","Low Sales")</f>
        <v>High Sales</v>
      </c>
      <c r="N10">
        <f>sales[[#This Row],[Total_Amount]]/sales[[#This Row],[Quantity]]</f>
        <v>110394.47</v>
      </c>
    </row>
    <row r="11" spans="1:14" x14ac:dyDescent="0.3">
      <c r="A11" t="s">
        <v>546</v>
      </c>
      <c r="B11">
        <v>1163</v>
      </c>
      <c r="C11" t="s">
        <v>81</v>
      </c>
      <c r="D11" t="s">
        <v>50</v>
      </c>
      <c r="E11" t="s">
        <v>547</v>
      </c>
      <c r="F11">
        <v>1</v>
      </c>
      <c r="G11">
        <v>109201.82</v>
      </c>
      <c r="H11" t="s">
        <v>528</v>
      </c>
      <c r="I11">
        <v>2025</v>
      </c>
      <c r="J11" t="str">
        <f>_xlfn.XLOOKUP(sales[[#This Row],[Product_ID]],products[Product_ID],products[Product_Name])</f>
        <v>Camera 6</v>
      </c>
      <c r="K11" t="str">
        <f>_xlfn.XLOOKUP(sales[[#This Row],[Store_ID]],stores[Store_ID],stores[Store_Name])</f>
        <v>Guntur Store</v>
      </c>
      <c r="L11" t="str">
        <f>_xlfn.XLOOKUP(sales[[#This Row],[Customer_ID]],customers[Customer_ID],customers[Customer_Name])</f>
        <v>Pooja_163</v>
      </c>
      <c r="M11" t="str">
        <f>IF(sales[[#This Row],[Total_Amount]]&gt;=50000,"High Sales","Low Sales")</f>
        <v>High Sales</v>
      </c>
      <c r="N11">
        <f>sales[[#This Row],[Total_Amount]]/sales[[#This Row],[Quantity]]</f>
        <v>109201.82</v>
      </c>
    </row>
    <row r="12" spans="1:14" x14ac:dyDescent="0.3">
      <c r="A12" t="s">
        <v>548</v>
      </c>
      <c r="B12">
        <v>1191</v>
      </c>
      <c r="C12" t="s">
        <v>86</v>
      </c>
      <c r="D12" t="s">
        <v>46</v>
      </c>
      <c r="E12" t="s">
        <v>549</v>
      </c>
      <c r="F12">
        <v>1</v>
      </c>
      <c r="G12">
        <v>95990.99</v>
      </c>
      <c r="H12" t="s">
        <v>545</v>
      </c>
      <c r="I12">
        <v>2025</v>
      </c>
      <c r="J12" t="str">
        <f>_xlfn.XLOOKUP(sales[[#This Row],[Product_ID]],products[Product_ID],products[Product_Name])</f>
        <v>Laptop 8</v>
      </c>
      <c r="K12" t="str">
        <f>_xlfn.XLOOKUP(sales[[#This Row],[Store_ID]],stores[Store_ID],stores[Store_Name])</f>
        <v>Vijayawada Store</v>
      </c>
      <c r="L12" t="str">
        <f>_xlfn.XLOOKUP(sales[[#This Row],[Customer_ID]],customers[Customer_ID],customers[Customer_Name])</f>
        <v>Akhil_191</v>
      </c>
      <c r="M12" t="str">
        <f>IF(sales[[#This Row],[Total_Amount]]&gt;=50000,"High Sales","Low Sales")</f>
        <v>High Sales</v>
      </c>
      <c r="N12">
        <f>sales[[#This Row],[Total_Amount]]/sales[[#This Row],[Quantity]]</f>
        <v>95990.99</v>
      </c>
    </row>
    <row r="13" spans="1:14" x14ac:dyDescent="0.3">
      <c r="A13" t="s">
        <v>550</v>
      </c>
      <c r="B13">
        <v>1160</v>
      </c>
      <c r="C13" t="s">
        <v>124</v>
      </c>
      <c r="D13" t="s">
        <v>62</v>
      </c>
      <c r="E13" t="s">
        <v>551</v>
      </c>
      <c r="F13">
        <v>3</v>
      </c>
      <c r="G13">
        <v>260746.83</v>
      </c>
      <c r="H13" t="s">
        <v>534</v>
      </c>
      <c r="I13">
        <v>2025</v>
      </c>
      <c r="J13" t="str">
        <f>_xlfn.XLOOKUP(sales[[#This Row],[Product_ID]],products[Product_ID],products[Product_Name])</f>
        <v>Mixer 27</v>
      </c>
      <c r="K13" t="str">
        <f>_xlfn.XLOOKUP(sales[[#This Row],[Store_ID]],stores[Store_ID],stores[Store_Name])</f>
        <v>Pune Store</v>
      </c>
      <c r="L13" t="str">
        <f>_xlfn.XLOOKUP(sales[[#This Row],[Customer_ID]],customers[Customer_ID],customers[Customer_Name])</f>
        <v>Priya_160</v>
      </c>
      <c r="M13" t="str">
        <f>IF(sales[[#This Row],[Total_Amount]]&gt;=50000,"High Sales","Low Sales")</f>
        <v>High Sales</v>
      </c>
      <c r="N13">
        <f>sales[[#This Row],[Total_Amount]]/sales[[#This Row],[Quantity]]</f>
        <v>86915.61</v>
      </c>
    </row>
    <row r="14" spans="1:14" x14ac:dyDescent="0.3">
      <c r="A14" t="s">
        <v>552</v>
      </c>
      <c r="B14">
        <v>1161</v>
      </c>
      <c r="C14" t="s">
        <v>96</v>
      </c>
      <c r="D14" t="s">
        <v>53</v>
      </c>
      <c r="E14" t="s">
        <v>553</v>
      </c>
      <c r="F14">
        <v>2</v>
      </c>
      <c r="G14">
        <v>68271.92</v>
      </c>
      <c r="H14" t="s">
        <v>537</v>
      </c>
      <c r="I14">
        <v>2025</v>
      </c>
      <c r="J14" t="str">
        <f>_xlfn.XLOOKUP(sales[[#This Row],[Product_ID]],products[Product_ID],products[Product_Name])</f>
        <v>Printer 13</v>
      </c>
      <c r="K14" t="str">
        <f>_xlfn.XLOOKUP(sales[[#This Row],[Store_ID]],stores[Store_ID],stores[Store_Name])</f>
        <v>Warangal Store</v>
      </c>
      <c r="L14" t="str">
        <f>_xlfn.XLOOKUP(sales[[#This Row],[Customer_ID]],customers[Customer_ID],customers[Customer_Name])</f>
        <v>Arjun_161</v>
      </c>
      <c r="M14" t="str">
        <f>IF(sales[[#This Row],[Total_Amount]]&gt;=50000,"High Sales","Low Sales")</f>
        <v>High Sales</v>
      </c>
      <c r="N14">
        <f>sales[[#This Row],[Total_Amount]]/sales[[#This Row],[Quantity]]</f>
        <v>34135.96</v>
      </c>
    </row>
    <row r="15" spans="1:14" x14ac:dyDescent="0.3">
      <c r="A15" t="s">
        <v>554</v>
      </c>
      <c r="B15">
        <v>1041</v>
      </c>
      <c r="C15" t="s">
        <v>126</v>
      </c>
      <c r="D15" t="s">
        <v>46</v>
      </c>
      <c r="E15" t="s">
        <v>555</v>
      </c>
      <c r="F15">
        <v>4</v>
      </c>
      <c r="G15">
        <v>271791.8</v>
      </c>
      <c r="H15" t="s">
        <v>531</v>
      </c>
      <c r="I15">
        <v>2026</v>
      </c>
      <c r="J15" t="str">
        <f>_xlfn.XLOOKUP(sales[[#This Row],[Product_ID]],products[Product_ID],products[Product_Name])</f>
        <v>Router 28</v>
      </c>
      <c r="K15" t="str">
        <f>_xlfn.XLOOKUP(sales[[#This Row],[Store_ID]],stores[Store_ID],stores[Store_Name])</f>
        <v>Vijayawada Store</v>
      </c>
      <c r="L15" t="str">
        <f>_xlfn.XLOOKUP(sales[[#This Row],[Customer_ID]],customers[Customer_ID],customers[Customer_Name])</f>
        <v>Arjun_41</v>
      </c>
      <c r="M15" t="str">
        <f>IF(sales[[#This Row],[Total_Amount]]&gt;=50000,"High Sales","Low Sales")</f>
        <v>High Sales</v>
      </c>
      <c r="N15">
        <f>sales[[#This Row],[Total_Amount]]/sales[[#This Row],[Quantity]]</f>
        <v>67947.95</v>
      </c>
    </row>
    <row r="16" spans="1:14" x14ac:dyDescent="0.3">
      <c r="A16" t="s">
        <v>556</v>
      </c>
      <c r="B16">
        <v>1032</v>
      </c>
      <c r="C16" t="s">
        <v>102</v>
      </c>
      <c r="D16" t="s">
        <v>50</v>
      </c>
      <c r="E16" t="s">
        <v>557</v>
      </c>
      <c r="F16">
        <v>2</v>
      </c>
      <c r="G16">
        <v>35687.42</v>
      </c>
      <c r="H16" t="s">
        <v>558</v>
      </c>
      <c r="I16">
        <v>2026</v>
      </c>
      <c r="J16" t="str">
        <f>_xlfn.XLOOKUP(sales[[#This Row],[Product_ID]],products[Product_ID],products[Product_Name])</f>
        <v>Power Bank 16</v>
      </c>
      <c r="K16" t="str">
        <f>_xlfn.XLOOKUP(sales[[#This Row],[Store_ID]],stores[Store_ID],stores[Store_Name])</f>
        <v>Guntur Store</v>
      </c>
      <c r="L16" t="str">
        <f>_xlfn.XLOOKUP(sales[[#This Row],[Customer_ID]],customers[Customer_ID],customers[Customer_Name])</f>
        <v>Sneha_32</v>
      </c>
      <c r="M16" t="str">
        <f>IF(sales[[#This Row],[Total_Amount]]&gt;=50000,"High Sales","Low Sales")</f>
        <v>Low Sales</v>
      </c>
      <c r="N16">
        <f>sales[[#This Row],[Total_Amount]]/sales[[#This Row],[Quantity]]</f>
        <v>17843.71</v>
      </c>
    </row>
    <row r="17" spans="1:14" x14ac:dyDescent="0.3">
      <c r="A17" t="s">
        <v>559</v>
      </c>
      <c r="B17">
        <v>1079</v>
      </c>
      <c r="C17" t="s">
        <v>112</v>
      </c>
      <c r="D17" t="s">
        <v>46</v>
      </c>
      <c r="E17" t="s">
        <v>560</v>
      </c>
      <c r="F17">
        <v>5</v>
      </c>
      <c r="G17">
        <v>259820.65</v>
      </c>
      <c r="H17" t="s">
        <v>561</v>
      </c>
      <c r="I17">
        <v>2025</v>
      </c>
      <c r="J17" t="str">
        <f>_xlfn.XLOOKUP(sales[[#This Row],[Product_ID]],products[Product_ID],products[Product_Name])</f>
        <v>Monitor 21</v>
      </c>
      <c r="K17" t="str">
        <f>_xlfn.XLOOKUP(sales[[#This Row],[Store_ID]],stores[Store_ID],stores[Store_Name])</f>
        <v>Vijayawada Store</v>
      </c>
      <c r="L17" t="str">
        <f>_xlfn.XLOOKUP(sales[[#This Row],[Customer_ID]],customers[Customer_ID],customers[Customer_Name])</f>
        <v>Priya_79</v>
      </c>
      <c r="M17" t="str">
        <f>IF(sales[[#This Row],[Total_Amount]]&gt;=50000,"High Sales","Low Sales")</f>
        <v>High Sales</v>
      </c>
      <c r="N17">
        <f>sales[[#This Row],[Total_Amount]]/sales[[#This Row],[Quantity]]</f>
        <v>51964.13</v>
      </c>
    </row>
    <row r="18" spans="1:14" x14ac:dyDescent="0.3">
      <c r="A18" t="s">
        <v>562</v>
      </c>
      <c r="B18">
        <v>1011</v>
      </c>
      <c r="C18" t="s">
        <v>92</v>
      </c>
      <c r="D18" t="s">
        <v>53</v>
      </c>
      <c r="E18" t="s">
        <v>425</v>
      </c>
      <c r="F18">
        <v>1</v>
      </c>
      <c r="G18">
        <v>119760.28</v>
      </c>
      <c r="H18" t="s">
        <v>545</v>
      </c>
      <c r="I18">
        <v>2025</v>
      </c>
      <c r="J18" t="str">
        <f>_xlfn.XLOOKUP(sales[[#This Row],[Product_ID]],products[Product_ID],products[Product_Name])</f>
        <v>Smartphone 11</v>
      </c>
      <c r="K18" t="str">
        <f>_xlfn.XLOOKUP(sales[[#This Row],[Store_ID]],stores[Store_ID],stores[Store_Name])</f>
        <v>Warangal Store</v>
      </c>
      <c r="L18" t="str">
        <f>_xlfn.XLOOKUP(sales[[#This Row],[Customer_ID]],customers[Customer_ID],customers[Customer_Name])</f>
        <v>Divya_11</v>
      </c>
      <c r="M18" t="str">
        <f>IF(sales[[#This Row],[Total_Amount]]&gt;=50000,"High Sales","Low Sales")</f>
        <v>High Sales</v>
      </c>
      <c r="N18">
        <f>sales[[#This Row],[Total_Amount]]/sales[[#This Row],[Quantity]]</f>
        <v>119760.28</v>
      </c>
    </row>
    <row r="19" spans="1:14" x14ac:dyDescent="0.3">
      <c r="A19" t="s">
        <v>563</v>
      </c>
      <c r="B19">
        <v>1121</v>
      </c>
      <c r="C19" t="s">
        <v>88</v>
      </c>
      <c r="D19" t="s">
        <v>42</v>
      </c>
      <c r="E19" t="s">
        <v>560</v>
      </c>
      <c r="F19">
        <v>3</v>
      </c>
      <c r="G19">
        <v>33474.480000000003</v>
      </c>
      <c r="H19" t="s">
        <v>561</v>
      </c>
      <c r="I19">
        <v>2025</v>
      </c>
      <c r="J19" t="str">
        <f>_xlfn.XLOOKUP(sales[[#This Row],[Product_ID]],products[Product_ID],products[Product_Name])</f>
        <v>Headphones 9</v>
      </c>
      <c r="K19" t="str">
        <f>_xlfn.XLOOKUP(sales[[#This Row],[Store_ID]],stores[Store_ID],stores[Store_Name])</f>
        <v>Hyderabad Store</v>
      </c>
      <c r="L19" t="str">
        <f>_xlfn.XLOOKUP(sales[[#This Row],[Customer_ID]],customers[Customer_ID],customers[Customer_Name])</f>
        <v>Akhil_121</v>
      </c>
      <c r="M19" t="str">
        <f>IF(sales[[#This Row],[Total_Amount]]&gt;=50000,"High Sales","Low Sales")</f>
        <v>Low Sales</v>
      </c>
      <c r="N19">
        <f>sales[[#This Row],[Total_Amount]]/sales[[#This Row],[Quantity]]</f>
        <v>11158.160000000002</v>
      </c>
    </row>
    <row r="20" spans="1:14" x14ac:dyDescent="0.3">
      <c r="A20" t="s">
        <v>564</v>
      </c>
      <c r="B20">
        <v>1102</v>
      </c>
      <c r="C20" t="s">
        <v>96</v>
      </c>
      <c r="D20" t="s">
        <v>46</v>
      </c>
      <c r="E20" t="s">
        <v>565</v>
      </c>
      <c r="F20">
        <v>3</v>
      </c>
      <c r="G20">
        <v>213766.14</v>
      </c>
      <c r="H20" t="s">
        <v>558</v>
      </c>
      <c r="I20">
        <v>2026</v>
      </c>
      <c r="J20" t="str">
        <f>_xlfn.XLOOKUP(sales[[#This Row],[Product_ID]],products[Product_ID],products[Product_Name])</f>
        <v>Printer 13</v>
      </c>
      <c r="K20" t="str">
        <f>_xlfn.XLOOKUP(sales[[#This Row],[Store_ID]],stores[Store_ID],stores[Store_Name])</f>
        <v>Vijayawada Store</v>
      </c>
      <c r="L20" t="str">
        <f>_xlfn.XLOOKUP(sales[[#This Row],[Customer_ID]],customers[Customer_ID],customers[Customer_Name])</f>
        <v>Rahul_102</v>
      </c>
      <c r="M20" t="str">
        <f>IF(sales[[#This Row],[Total_Amount]]&gt;=50000,"High Sales","Low Sales")</f>
        <v>High Sales</v>
      </c>
      <c r="N20">
        <f>sales[[#This Row],[Total_Amount]]/sales[[#This Row],[Quantity]]</f>
        <v>71255.38</v>
      </c>
    </row>
    <row r="21" spans="1:14" x14ac:dyDescent="0.3">
      <c r="A21" t="s">
        <v>566</v>
      </c>
      <c r="B21">
        <v>1155</v>
      </c>
      <c r="C21" t="s">
        <v>94</v>
      </c>
      <c r="D21" t="s">
        <v>46</v>
      </c>
      <c r="E21" t="s">
        <v>567</v>
      </c>
      <c r="F21">
        <v>3</v>
      </c>
      <c r="G21">
        <v>183245.07</v>
      </c>
      <c r="H21" t="s">
        <v>525</v>
      </c>
      <c r="I21">
        <v>2025</v>
      </c>
      <c r="J21" t="str">
        <f>_xlfn.XLOOKUP(sales[[#This Row],[Product_ID]],products[Product_ID],products[Product_Name])</f>
        <v>Mouse 12</v>
      </c>
      <c r="K21" t="str">
        <f>_xlfn.XLOOKUP(sales[[#This Row],[Store_ID]],stores[Store_ID],stores[Store_Name])</f>
        <v>Vijayawada Store</v>
      </c>
      <c r="L21" t="str">
        <f>_xlfn.XLOOKUP(sales[[#This Row],[Customer_ID]],customers[Customer_ID],customers[Customer_Name])</f>
        <v>Divya_155</v>
      </c>
      <c r="M21" t="str">
        <f>IF(sales[[#This Row],[Total_Amount]]&gt;=50000,"High Sales","Low Sales")</f>
        <v>High Sales</v>
      </c>
      <c r="N21">
        <f>sales[[#This Row],[Total_Amount]]/sales[[#This Row],[Quantity]]</f>
        <v>61081.69</v>
      </c>
    </row>
    <row r="22" spans="1:14" x14ac:dyDescent="0.3">
      <c r="A22" t="s">
        <v>568</v>
      </c>
      <c r="B22">
        <v>1119</v>
      </c>
      <c r="C22" t="s">
        <v>112</v>
      </c>
      <c r="D22" t="s">
        <v>46</v>
      </c>
      <c r="E22" t="s">
        <v>569</v>
      </c>
      <c r="F22">
        <v>4</v>
      </c>
      <c r="G22">
        <v>89581.68</v>
      </c>
      <c r="H22" t="s">
        <v>531</v>
      </c>
      <c r="I22">
        <v>2025</v>
      </c>
      <c r="J22" t="str">
        <f>_xlfn.XLOOKUP(sales[[#This Row],[Product_ID]],products[Product_ID],products[Product_Name])</f>
        <v>Monitor 21</v>
      </c>
      <c r="K22" t="str">
        <f>_xlfn.XLOOKUP(sales[[#This Row],[Store_ID]],stores[Store_ID],stores[Store_Name])</f>
        <v>Vijayawada Store</v>
      </c>
      <c r="L22" t="str">
        <f>_xlfn.XLOOKUP(sales[[#This Row],[Customer_ID]],customers[Customer_ID],customers[Customer_Name])</f>
        <v>Ramesh_119</v>
      </c>
      <c r="M22" t="str">
        <f>IF(sales[[#This Row],[Total_Amount]]&gt;=50000,"High Sales","Low Sales")</f>
        <v>High Sales</v>
      </c>
      <c r="N22">
        <f>sales[[#This Row],[Total_Amount]]/sales[[#This Row],[Quantity]]</f>
        <v>22395.42</v>
      </c>
    </row>
    <row r="23" spans="1:14" x14ac:dyDescent="0.3">
      <c r="A23" t="s">
        <v>570</v>
      </c>
      <c r="B23">
        <v>1093</v>
      </c>
      <c r="C23" t="s">
        <v>110</v>
      </c>
      <c r="D23" t="s">
        <v>53</v>
      </c>
      <c r="E23" t="s">
        <v>571</v>
      </c>
      <c r="F23">
        <v>3</v>
      </c>
      <c r="G23">
        <v>60997.47</v>
      </c>
      <c r="H23" t="s">
        <v>572</v>
      </c>
      <c r="I23">
        <v>2025</v>
      </c>
      <c r="J23" t="str">
        <f>_xlfn.XLOOKUP(sales[[#This Row],[Product_ID]],products[Product_ID],products[Product_Name])</f>
        <v>Keyboard 20</v>
      </c>
      <c r="K23" t="str">
        <f>_xlfn.XLOOKUP(sales[[#This Row],[Store_ID]],stores[Store_ID],stores[Store_Name])</f>
        <v>Warangal Store</v>
      </c>
      <c r="L23" t="str">
        <f>_xlfn.XLOOKUP(sales[[#This Row],[Customer_ID]],customers[Customer_ID],customers[Customer_Name])</f>
        <v>Arjun_93</v>
      </c>
      <c r="M23" t="str">
        <f>IF(sales[[#This Row],[Total_Amount]]&gt;=50000,"High Sales","Low Sales")</f>
        <v>High Sales</v>
      </c>
      <c r="N23">
        <f>sales[[#This Row],[Total_Amount]]/sales[[#This Row],[Quantity]]</f>
        <v>20332.490000000002</v>
      </c>
    </row>
    <row r="24" spans="1:14" x14ac:dyDescent="0.3">
      <c r="A24" t="s">
        <v>573</v>
      </c>
      <c r="B24">
        <v>1128</v>
      </c>
      <c r="C24" t="s">
        <v>72</v>
      </c>
      <c r="D24" t="s">
        <v>57</v>
      </c>
      <c r="E24" t="s">
        <v>574</v>
      </c>
      <c r="F24">
        <v>2</v>
      </c>
      <c r="G24">
        <v>29727.32</v>
      </c>
      <c r="H24" t="s">
        <v>575</v>
      </c>
      <c r="I24">
        <v>2026</v>
      </c>
      <c r="J24" t="str">
        <f>_xlfn.XLOOKUP(sales[[#This Row],[Product_ID]],products[Product_ID],products[Product_Name])</f>
        <v>Headphones 2</v>
      </c>
      <c r="K24" t="str">
        <f>_xlfn.XLOOKUP(sales[[#This Row],[Store_ID]],stores[Store_ID],stores[Store_Name])</f>
        <v>Bengaluru Store</v>
      </c>
      <c r="L24" t="str">
        <f>_xlfn.XLOOKUP(sales[[#This Row],[Customer_ID]],customers[Customer_ID],customers[Customer_Name])</f>
        <v>Keerthi_128</v>
      </c>
      <c r="M24" t="str">
        <f>IF(sales[[#This Row],[Total_Amount]]&gt;=50000,"High Sales","Low Sales")</f>
        <v>Low Sales</v>
      </c>
      <c r="N24">
        <f>sales[[#This Row],[Total_Amount]]/sales[[#This Row],[Quantity]]</f>
        <v>14863.66</v>
      </c>
    </row>
    <row r="25" spans="1:14" x14ac:dyDescent="0.3">
      <c r="A25" t="s">
        <v>576</v>
      </c>
      <c r="B25">
        <v>1042</v>
      </c>
      <c r="C25" t="s">
        <v>108</v>
      </c>
      <c r="D25" t="s">
        <v>57</v>
      </c>
      <c r="E25" t="s">
        <v>577</v>
      </c>
      <c r="F25">
        <v>4</v>
      </c>
      <c r="G25">
        <v>38361.96</v>
      </c>
      <c r="H25" t="s">
        <v>575</v>
      </c>
      <c r="I25">
        <v>2025</v>
      </c>
      <c r="J25" t="str">
        <f>_xlfn.XLOOKUP(sales[[#This Row],[Product_ID]],products[Product_ID],products[Product_Name])</f>
        <v>Mouse 19</v>
      </c>
      <c r="K25" t="str">
        <f>_xlfn.XLOOKUP(sales[[#This Row],[Store_ID]],stores[Store_ID],stores[Store_Name])</f>
        <v>Bengaluru Store</v>
      </c>
      <c r="L25" t="str">
        <f>_xlfn.XLOOKUP(sales[[#This Row],[Customer_ID]],customers[Customer_ID],customers[Customer_Name])</f>
        <v>Nikhil_42</v>
      </c>
      <c r="M25" t="str">
        <f>IF(sales[[#This Row],[Total_Amount]]&gt;=50000,"High Sales","Low Sales")</f>
        <v>Low Sales</v>
      </c>
      <c r="N25">
        <f>sales[[#This Row],[Total_Amount]]/sales[[#This Row],[Quantity]]</f>
        <v>9590.49</v>
      </c>
    </row>
    <row r="26" spans="1:14" x14ac:dyDescent="0.3">
      <c r="A26" t="s">
        <v>578</v>
      </c>
      <c r="B26">
        <v>1094</v>
      </c>
      <c r="C26" t="s">
        <v>69</v>
      </c>
      <c r="D26" t="s">
        <v>46</v>
      </c>
      <c r="E26" t="s">
        <v>579</v>
      </c>
      <c r="F26">
        <v>4</v>
      </c>
      <c r="G26">
        <v>83631.520000000004</v>
      </c>
      <c r="H26" t="s">
        <v>531</v>
      </c>
      <c r="I26">
        <v>2026</v>
      </c>
      <c r="J26" t="str">
        <f>_xlfn.XLOOKUP(sales[[#This Row],[Product_ID]],products[Product_ID],products[Product_Name])</f>
        <v>Headphones 1</v>
      </c>
      <c r="K26" t="str">
        <f>_xlfn.XLOOKUP(sales[[#This Row],[Store_ID]],stores[Store_ID],stores[Store_Name])</f>
        <v>Vijayawada Store</v>
      </c>
      <c r="L26" t="str">
        <f>_xlfn.XLOOKUP(sales[[#This Row],[Customer_ID]],customers[Customer_ID],customers[Customer_Name])</f>
        <v>Keerthi_94</v>
      </c>
      <c r="M26" t="str">
        <f>IF(sales[[#This Row],[Total_Amount]]&gt;=50000,"High Sales","Low Sales")</f>
        <v>High Sales</v>
      </c>
      <c r="N26">
        <f>sales[[#This Row],[Total_Amount]]/sales[[#This Row],[Quantity]]</f>
        <v>20907.88</v>
      </c>
    </row>
    <row r="27" spans="1:14" x14ac:dyDescent="0.3">
      <c r="A27" t="s">
        <v>580</v>
      </c>
      <c r="B27">
        <v>1047</v>
      </c>
      <c r="C27" t="s">
        <v>81</v>
      </c>
      <c r="D27" t="s">
        <v>42</v>
      </c>
      <c r="E27" t="s">
        <v>154</v>
      </c>
      <c r="F27">
        <v>2</v>
      </c>
      <c r="G27">
        <v>30133.26</v>
      </c>
      <c r="H27" t="s">
        <v>545</v>
      </c>
      <c r="I27">
        <v>2025</v>
      </c>
      <c r="J27" t="str">
        <f>_xlfn.XLOOKUP(sales[[#This Row],[Product_ID]],products[Product_ID],products[Product_Name])</f>
        <v>Camera 6</v>
      </c>
      <c r="K27" t="str">
        <f>_xlfn.XLOOKUP(sales[[#This Row],[Store_ID]],stores[Store_ID],stores[Store_Name])</f>
        <v>Hyderabad Store</v>
      </c>
      <c r="L27" t="str">
        <f>_xlfn.XLOOKUP(sales[[#This Row],[Customer_ID]],customers[Customer_ID],customers[Customer_Name])</f>
        <v>Nikhil_47</v>
      </c>
      <c r="M27" t="str">
        <f>IF(sales[[#This Row],[Total_Amount]]&gt;=50000,"High Sales","Low Sales")</f>
        <v>Low Sales</v>
      </c>
      <c r="N27">
        <f>sales[[#This Row],[Total_Amount]]/sales[[#This Row],[Quantity]]</f>
        <v>15066.63</v>
      </c>
    </row>
    <row r="28" spans="1:14" x14ac:dyDescent="0.3">
      <c r="A28" t="s">
        <v>581</v>
      </c>
      <c r="B28">
        <v>1022</v>
      </c>
      <c r="C28" t="s">
        <v>79</v>
      </c>
      <c r="D28" t="s">
        <v>59</v>
      </c>
      <c r="E28" t="s">
        <v>389</v>
      </c>
      <c r="F28">
        <v>5</v>
      </c>
      <c r="G28">
        <v>379991.75</v>
      </c>
      <c r="H28" t="s">
        <v>525</v>
      </c>
      <c r="I28">
        <v>2025</v>
      </c>
      <c r="J28" t="str">
        <f>_xlfn.XLOOKUP(sales[[#This Row],[Product_ID]],products[Product_ID],products[Product_Name])</f>
        <v>Smartphone 5</v>
      </c>
      <c r="K28" t="str">
        <f>_xlfn.XLOOKUP(sales[[#This Row],[Store_ID]],stores[Store_ID],stores[Store_Name])</f>
        <v>Chennai Store</v>
      </c>
      <c r="L28" t="str">
        <f>_xlfn.XLOOKUP(sales[[#This Row],[Customer_ID]],customers[Customer_ID],customers[Customer_Name])</f>
        <v>Priya_22</v>
      </c>
      <c r="M28" t="str">
        <f>IF(sales[[#This Row],[Total_Amount]]&gt;=50000,"High Sales","Low Sales")</f>
        <v>High Sales</v>
      </c>
      <c r="N28">
        <f>sales[[#This Row],[Total_Amount]]/sales[[#This Row],[Quantity]]</f>
        <v>75998.350000000006</v>
      </c>
    </row>
    <row r="29" spans="1:14" x14ac:dyDescent="0.3">
      <c r="A29" t="s">
        <v>582</v>
      </c>
      <c r="B29">
        <v>1114</v>
      </c>
      <c r="C29" t="s">
        <v>114</v>
      </c>
      <c r="D29" t="s">
        <v>50</v>
      </c>
      <c r="E29" t="s">
        <v>583</v>
      </c>
      <c r="F29">
        <v>5</v>
      </c>
      <c r="G29">
        <v>569697.05000000005</v>
      </c>
      <c r="H29" t="s">
        <v>534</v>
      </c>
      <c r="I29">
        <v>2025</v>
      </c>
      <c r="J29" t="str">
        <f>_xlfn.XLOOKUP(sales[[#This Row],[Product_ID]],products[Product_ID],products[Product_Name])</f>
        <v>Mixer 22</v>
      </c>
      <c r="K29" t="str">
        <f>_xlfn.XLOOKUP(sales[[#This Row],[Store_ID]],stores[Store_ID],stores[Store_Name])</f>
        <v>Guntur Store</v>
      </c>
      <c r="L29" t="str">
        <f>_xlfn.XLOOKUP(sales[[#This Row],[Customer_ID]],customers[Customer_ID],customers[Customer_Name])</f>
        <v>Priya_114</v>
      </c>
      <c r="M29" t="str">
        <f>IF(sales[[#This Row],[Total_Amount]]&gt;=50000,"High Sales","Low Sales")</f>
        <v>High Sales</v>
      </c>
      <c r="N29">
        <f>sales[[#This Row],[Total_Amount]]/sales[[#This Row],[Quantity]]</f>
        <v>113939.41</v>
      </c>
    </row>
    <row r="30" spans="1:14" x14ac:dyDescent="0.3">
      <c r="A30" t="s">
        <v>584</v>
      </c>
      <c r="B30">
        <v>1147</v>
      </c>
      <c r="C30" t="s">
        <v>90</v>
      </c>
      <c r="D30" t="s">
        <v>50</v>
      </c>
      <c r="E30" t="s">
        <v>585</v>
      </c>
      <c r="F30">
        <v>4</v>
      </c>
      <c r="G30">
        <v>246000.8</v>
      </c>
      <c r="H30" t="s">
        <v>572</v>
      </c>
      <c r="I30">
        <v>2025</v>
      </c>
      <c r="J30" t="str">
        <f>_xlfn.XLOOKUP(sales[[#This Row],[Product_ID]],products[Product_ID],products[Product_Name])</f>
        <v>Camera 10</v>
      </c>
      <c r="K30" t="str">
        <f>_xlfn.XLOOKUP(sales[[#This Row],[Store_ID]],stores[Store_ID],stores[Store_Name])</f>
        <v>Guntur Store</v>
      </c>
      <c r="L30" t="str">
        <f>_xlfn.XLOOKUP(sales[[#This Row],[Customer_ID]],customers[Customer_ID],customers[Customer_Name])</f>
        <v>Akhil_147</v>
      </c>
      <c r="M30" t="str">
        <f>IF(sales[[#This Row],[Total_Amount]]&gt;=50000,"High Sales","Low Sales")</f>
        <v>High Sales</v>
      </c>
      <c r="N30">
        <f>sales[[#This Row],[Total_Amount]]/sales[[#This Row],[Quantity]]</f>
        <v>61500.2</v>
      </c>
    </row>
    <row r="31" spans="1:14" x14ac:dyDescent="0.3">
      <c r="A31" t="s">
        <v>586</v>
      </c>
      <c r="B31">
        <v>1071</v>
      </c>
      <c r="C31" t="s">
        <v>106</v>
      </c>
      <c r="D31" t="s">
        <v>53</v>
      </c>
      <c r="E31" t="s">
        <v>587</v>
      </c>
      <c r="F31">
        <v>2</v>
      </c>
      <c r="G31">
        <v>113583.28</v>
      </c>
      <c r="H31" t="s">
        <v>575</v>
      </c>
      <c r="I31">
        <v>2026</v>
      </c>
      <c r="J31" t="str">
        <f>_xlfn.XLOOKUP(sales[[#This Row],[Product_ID]],products[Product_ID],products[Product_Name])</f>
        <v>Microwave 18</v>
      </c>
      <c r="K31" t="str">
        <f>_xlfn.XLOOKUP(sales[[#This Row],[Store_ID]],stores[Store_ID],stores[Store_Name])</f>
        <v>Warangal Store</v>
      </c>
      <c r="L31" t="str">
        <f>_xlfn.XLOOKUP(sales[[#This Row],[Customer_ID]],customers[Customer_ID],customers[Customer_Name])</f>
        <v>Rahul_71</v>
      </c>
      <c r="M31" t="str">
        <f>IF(sales[[#This Row],[Total_Amount]]&gt;=50000,"High Sales","Low Sales")</f>
        <v>High Sales</v>
      </c>
      <c r="N31">
        <f>sales[[#This Row],[Total_Amount]]/sales[[#This Row],[Quantity]]</f>
        <v>56791.64</v>
      </c>
    </row>
    <row r="32" spans="1:14" x14ac:dyDescent="0.3">
      <c r="A32" t="s">
        <v>588</v>
      </c>
      <c r="B32">
        <v>1086</v>
      </c>
      <c r="C32" t="s">
        <v>112</v>
      </c>
      <c r="D32" t="s">
        <v>62</v>
      </c>
      <c r="E32" t="s">
        <v>589</v>
      </c>
      <c r="F32">
        <v>4</v>
      </c>
      <c r="G32">
        <v>68629.84</v>
      </c>
      <c r="H32" t="s">
        <v>545</v>
      </c>
      <c r="I32">
        <v>2025</v>
      </c>
      <c r="J32" t="str">
        <f>_xlfn.XLOOKUP(sales[[#This Row],[Product_ID]],products[Product_ID],products[Product_Name])</f>
        <v>Monitor 21</v>
      </c>
      <c r="K32" t="str">
        <f>_xlfn.XLOOKUP(sales[[#This Row],[Store_ID]],stores[Store_ID],stores[Store_Name])</f>
        <v>Pune Store</v>
      </c>
      <c r="L32" t="str">
        <f>_xlfn.XLOOKUP(sales[[#This Row],[Customer_ID]],customers[Customer_ID],customers[Customer_Name])</f>
        <v>Priya_86</v>
      </c>
      <c r="M32" t="str">
        <f>IF(sales[[#This Row],[Total_Amount]]&gt;=50000,"High Sales","Low Sales")</f>
        <v>High Sales</v>
      </c>
      <c r="N32">
        <f>sales[[#This Row],[Total_Amount]]/sales[[#This Row],[Quantity]]</f>
        <v>17157.46</v>
      </c>
    </row>
    <row r="33" spans="1:14" x14ac:dyDescent="0.3">
      <c r="A33" t="s">
        <v>590</v>
      </c>
      <c r="B33">
        <v>1132</v>
      </c>
      <c r="C33" t="s">
        <v>94</v>
      </c>
      <c r="D33" t="s">
        <v>42</v>
      </c>
      <c r="E33" t="s">
        <v>496</v>
      </c>
      <c r="F33">
        <v>2</v>
      </c>
      <c r="G33">
        <v>154515.44</v>
      </c>
      <c r="H33" t="s">
        <v>531</v>
      </c>
      <c r="I33">
        <v>2025</v>
      </c>
      <c r="J33" t="str">
        <f>_xlfn.XLOOKUP(sales[[#This Row],[Product_ID]],products[Product_ID],products[Product_Name])</f>
        <v>Mouse 12</v>
      </c>
      <c r="K33" t="str">
        <f>_xlfn.XLOOKUP(sales[[#This Row],[Store_ID]],stores[Store_ID],stores[Store_Name])</f>
        <v>Hyderabad Store</v>
      </c>
      <c r="L33" t="str">
        <f>_xlfn.XLOOKUP(sales[[#This Row],[Customer_ID]],customers[Customer_ID],customers[Customer_Name])</f>
        <v>Pooja_132</v>
      </c>
      <c r="M33" t="str">
        <f>IF(sales[[#This Row],[Total_Amount]]&gt;=50000,"High Sales","Low Sales")</f>
        <v>High Sales</v>
      </c>
      <c r="N33">
        <f>sales[[#This Row],[Total_Amount]]/sales[[#This Row],[Quantity]]</f>
        <v>77257.72</v>
      </c>
    </row>
    <row r="34" spans="1:14" x14ac:dyDescent="0.3">
      <c r="A34" t="s">
        <v>591</v>
      </c>
      <c r="B34">
        <v>1079</v>
      </c>
      <c r="C34" t="s">
        <v>110</v>
      </c>
      <c r="D34" t="s">
        <v>50</v>
      </c>
      <c r="E34" t="s">
        <v>197</v>
      </c>
      <c r="F34">
        <v>1</v>
      </c>
      <c r="G34">
        <v>86465.18</v>
      </c>
      <c r="H34" t="s">
        <v>561</v>
      </c>
      <c r="I34">
        <v>2025</v>
      </c>
      <c r="J34" t="str">
        <f>_xlfn.XLOOKUP(sales[[#This Row],[Product_ID]],products[Product_ID],products[Product_Name])</f>
        <v>Keyboard 20</v>
      </c>
      <c r="K34" t="str">
        <f>_xlfn.XLOOKUP(sales[[#This Row],[Store_ID]],stores[Store_ID],stores[Store_Name])</f>
        <v>Guntur Store</v>
      </c>
      <c r="L34" t="str">
        <f>_xlfn.XLOOKUP(sales[[#This Row],[Customer_ID]],customers[Customer_ID],customers[Customer_Name])</f>
        <v>Priya_79</v>
      </c>
      <c r="M34" t="str">
        <f>IF(sales[[#This Row],[Total_Amount]]&gt;=50000,"High Sales","Low Sales")</f>
        <v>High Sales</v>
      </c>
      <c r="N34">
        <f>sales[[#This Row],[Total_Amount]]/sales[[#This Row],[Quantity]]</f>
        <v>86465.18</v>
      </c>
    </row>
    <row r="35" spans="1:14" x14ac:dyDescent="0.3">
      <c r="A35" t="s">
        <v>592</v>
      </c>
      <c r="B35">
        <v>1057</v>
      </c>
      <c r="C35" t="s">
        <v>116</v>
      </c>
      <c r="D35" t="s">
        <v>42</v>
      </c>
      <c r="E35" t="s">
        <v>593</v>
      </c>
      <c r="F35">
        <v>2</v>
      </c>
      <c r="G35">
        <v>116441.2</v>
      </c>
      <c r="H35" t="s">
        <v>537</v>
      </c>
      <c r="I35">
        <v>2026</v>
      </c>
      <c r="J35" t="str">
        <f>_xlfn.XLOOKUP(sales[[#This Row],[Product_ID]],products[Product_ID],products[Product_Name])</f>
        <v>Microwave 23</v>
      </c>
      <c r="K35" t="str">
        <f>_xlfn.XLOOKUP(sales[[#This Row],[Store_ID]],stores[Store_ID],stores[Store_Name])</f>
        <v>Hyderabad Store</v>
      </c>
      <c r="L35" t="str">
        <f>_xlfn.XLOOKUP(sales[[#This Row],[Customer_ID]],customers[Customer_ID],customers[Customer_Name])</f>
        <v>Kiran_57</v>
      </c>
      <c r="M35" t="str">
        <f>IF(sales[[#This Row],[Total_Amount]]&gt;=50000,"High Sales","Low Sales")</f>
        <v>High Sales</v>
      </c>
      <c r="N35">
        <f>sales[[#This Row],[Total_Amount]]/sales[[#This Row],[Quantity]]</f>
        <v>58220.6</v>
      </c>
    </row>
    <row r="36" spans="1:14" x14ac:dyDescent="0.3">
      <c r="A36" t="s">
        <v>594</v>
      </c>
      <c r="B36">
        <v>1135</v>
      </c>
      <c r="C36" t="s">
        <v>69</v>
      </c>
      <c r="D36" t="s">
        <v>50</v>
      </c>
      <c r="E36" t="s">
        <v>473</v>
      </c>
      <c r="F36">
        <v>3</v>
      </c>
      <c r="G36">
        <v>276471.39</v>
      </c>
      <c r="H36" t="s">
        <v>525</v>
      </c>
      <c r="I36">
        <v>2025</v>
      </c>
      <c r="J36" t="str">
        <f>_xlfn.XLOOKUP(sales[[#This Row],[Product_ID]],products[Product_ID],products[Product_Name])</f>
        <v>Headphones 1</v>
      </c>
      <c r="K36" t="str">
        <f>_xlfn.XLOOKUP(sales[[#This Row],[Store_ID]],stores[Store_ID],stores[Store_Name])</f>
        <v>Guntur Store</v>
      </c>
      <c r="L36" t="str">
        <f>_xlfn.XLOOKUP(sales[[#This Row],[Customer_ID]],customers[Customer_ID],customers[Customer_Name])</f>
        <v>Arjun_135</v>
      </c>
      <c r="M36" t="str">
        <f>IF(sales[[#This Row],[Total_Amount]]&gt;=50000,"High Sales","Low Sales")</f>
        <v>High Sales</v>
      </c>
      <c r="N36">
        <f>sales[[#This Row],[Total_Amount]]/sales[[#This Row],[Quantity]]</f>
        <v>92157.13</v>
      </c>
    </row>
    <row r="37" spans="1:14" x14ac:dyDescent="0.3">
      <c r="A37" t="s">
        <v>595</v>
      </c>
      <c r="B37">
        <v>1146</v>
      </c>
      <c r="C37" t="s">
        <v>90</v>
      </c>
      <c r="D37" t="s">
        <v>42</v>
      </c>
      <c r="E37" t="s">
        <v>596</v>
      </c>
      <c r="F37">
        <v>3</v>
      </c>
      <c r="G37">
        <v>14156.85</v>
      </c>
      <c r="H37" t="s">
        <v>558</v>
      </c>
      <c r="I37">
        <v>2026</v>
      </c>
      <c r="J37" t="str">
        <f>_xlfn.XLOOKUP(sales[[#This Row],[Product_ID]],products[Product_ID],products[Product_Name])</f>
        <v>Camera 10</v>
      </c>
      <c r="K37" t="str">
        <f>_xlfn.XLOOKUP(sales[[#This Row],[Store_ID]],stores[Store_ID],stores[Store_Name])</f>
        <v>Hyderabad Store</v>
      </c>
      <c r="L37" t="str">
        <f>_xlfn.XLOOKUP(sales[[#This Row],[Customer_ID]],customers[Customer_ID],customers[Customer_Name])</f>
        <v>Sita_146</v>
      </c>
      <c r="M37" t="str">
        <f>IF(sales[[#This Row],[Total_Amount]]&gt;=50000,"High Sales","Low Sales")</f>
        <v>Low Sales</v>
      </c>
      <c r="N37">
        <f>sales[[#This Row],[Total_Amount]]/sales[[#This Row],[Quantity]]</f>
        <v>4718.95</v>
      </c>
    </row>
    <row r="38" spans="1:14" x14ac:dyDescent="0.3">
      <c r="A38" t="s">
        <v>597</v>
      </c>
      <c r="B38">
        <v>1030</v>
      </c>
      <c r="C38" t="s">
        <v>122</v>
      </c>
      <c r="D38" t="s">
        <v>57</v>
      </c>
      <c r="E38" t="s">
        <v>598</v>
      </c>
      <c r="F38">
        <v>5</v>
      </c>
      <c r="G38">
        <v>166993.70000000001</v>
      </c>
      <c r="H38" t="s">
        <v>575</v>
      </c>
      <c r="I38">
        <v>2025</v>
      </c>
      <c r="J38" t="str">
        <f>_xlfn.XLOOKUP(sales[[#This Row],[Product_ID]],products[Product_ID],products[Product_Name])</f>
        <v>Router 26</v>
      </c>
      <c r="K38" t="str">
        <f>_xlfn.XLOOKUP(sales[[#This Row],[Store_ID]],stores[Store_ID],stores[Store_Name])</f>
        <v>Bengaluru Store</v>
      </c>
      <c r="L38" t="str">
        <f>_xlfn.XLOOKUP(sales[[#This Row],[Customer_ID]],customers[Customer_ID],customers[Customer_Name])</f>
        <v>Ramesh_30</v>
      </c>
      <c r="M38" t="str">
        <f>IF(sales[[#This Row],[Total_Amount]]&gt;=50000,"High Sales","Low Sales")</f>
        <v>High Sales</v>
      </c>
      <c r="N38">
        <f>sales[[#This Row],[Total_Amount]]/sales[[#This Row],[Quantity]]</f>
        <v>33398.740000000005</v>
      </c>
    </row>
    <row r="39" spans="1:14" x14ac:dyDescent="0.3">
      <c r="A39" t="s">
        <v>599</v>
      </c>
      <c r="B39">
        <v>1114</v>
      </c>
      <c r="C39" t="s">
        <v>124</v>
      </c>
      <c r="D39" t="s">
        <v>62</v>
      </c>
      <c r="E39" t="s">
        <v>600</v>
      </c>
      <c r="F39">
        <v>1</v>
      </c>
      <c r="G39">
        <v>84356.2</v>
      </c>
      <c r="H39" t="s">
        <v>537</v>
      </c>
      <c r="I39">
        <v>2026</v>
      </c>
      <c r="J39" t="str">
        <f>_xlfn.XLOOKUP(sales[[#This Row],[Product_ID]],products[Product_ID],products[Product_Name])</f>
        <v>Mixer 27</v>
      </c>
      <c r="K39" t="str">
        <f>_xlfn.XLOOKUP(sales[[#This Row],[Store_ID]],stores[Store_ID],stores[Store_Name])</f>
        <v>Pune Store</v>
      </c>
      <c r="L39" t="str">
        <f>_xlfn.XLOOKUP(sales[[#This Row],[Customer_ID]],customers[Customer_ID],customers[Customer_Name])</f>
        <v>Priya_114</v>
      </c>
      <c r="M39" t="str">
        <f>IF(sales[[#This Row],[Total_Amount]]&gt;=50000,"High Sales","Low Sales")</f>
        <v>High Sales</v>
      </c>
      <c r="N39">
        <f>sales[[#This Row],[Total_Amount]]/sales[[#This Row],[Quantity]]</f>
        <v>84356.2</v>
      </c>
    </row>
    <row r="40" spans="1:14" x14ac:dyDescent="0.3">
      <c r="A40" t="s">
        <v>601</v>
      </c>
      <c r="B40">
        <v>1046</v>
      </c>
      <c r="C40" t="s">
        <v>128</v>
      </c>
      <c r="D40" t="s">
        <v>48</v>
      </c>
      <c r="E40" t="s">
        <v>602</v>
      </c>
      <c r="F40">
        <v>5</v>
      </c>
      <c r="G40">
        <v>203630</v>
      </c>
      <c r="H40" t="s">
        <v>531</v>
      </c>
      <c r="I40">
        <v>2026</v>
      </c>
      <c r="J40" t="str">
        <f>_xlfn.XLOOKUP(sales[[#This Row],[Product_ID]],products[Product_ID],products[Product_Name])</f>
        <v>Printer 29</v>
      </c>
      <c r="K40" t="str">
        <f>_xlfn.XLOOKUP(sales[[#This Row],[Store_ID]],stores[Store_ID],stores[Store_Name])</f>
        <v>Visakhapatnam Store</v>
      </c>
      <c r="L40" t="str">
        <f>_xlfn.XLOOKUP(sales[[#This Row],[Customer_ID]],customers[Customer_ID],customers[Customer_Name])</f>
        <v>Divya_46</v>
      </c>
      <c r="M40" t="str">
        <f>IF(sales[[#This Row],[Total_Amount]]&gt;=50000,"High Sales","Low Sales")</f>
        <v>High Sales</v>
      </c>
      <c r="N40">
        <f>sales[[#This Row],[Total_Amount]]/sales[[#This Row],[Quantity]]</f>
        <v>40726</v>
      </c>
    </row>
    <row r="41" spans="1:14" x14ac:dyDescent="0.3">
      <c r="A41" t="s">
        <v>603</v>
      </c>
      <c r="B41">
        <v>1065</v>
      </c>
      <c r="C41" t="s">
        <v>112</v>
      </c>
      <c r="D41" t="s">
        <v>42</v>
      </c>
      <c r="E41" t="s">
        <v>448</v>
      </c>
      <c r="F41">
        <v>1</v>
      </c>
      <c r="G41">
        <v>18847.54</v>
      </c>
      <c r="H41" t="s">
        <v>537</v>
      </c>
      <c r="I41">
        <v>2025</v>
      </c>
      <c r="J41" t="str">
        <f>_xlfn.XLOOKUP(sales[[#This Row],[Product_ID]],products[Product_ID],products[Product_Name])</f>
        <v>Monitor 21</v>
      </c>
      <c r="K41" t="str">
        <f>_xlfn.XLOOKUP(sales[[#This Row],[Store_ID]],stores[Store_ID],stores[Store_Name])</f>
        <v>Hyderabad Store</v>
      </c>
      <c r="L41" t="str">
        <f>_xlfn.XLOOKUP(sales[[#This Row],[Customer_ID]],customers[Customer_ID],customers[Customer_Name])</f>
        <v>Vikram_65</v>
      </c>
      <c r="M41" t="str">
        <f>IF(sales[[#This Row],[Total_Amount]]&gt;=50000,"High Sales","Low Sales")</f>
        <v>Low Sales</v>
      </c>
      <c r="N41">
        <f>sales[[#This Row],[Total_Amount]]/sales[[#This Row],[Quantity]]</f>
        <v>18847.54</v>
      </c>
    </row>
    <row r="42" spans="1:14" x14ac:dyDescent="0.3">
      <c r="A42" t="s">
        <v>604</v>
      </c>
      <c r="B42">
        <v>1052</v>
      </c>
      <c r="C42" t="s">
        <v>77</v>
      </c>
      <c r="D42" t="s">
        <v>53</v>
      </c>
      <c r="E42" t="s">
        <v>605</v>
      </c>
      <c r="F42">
        <v>1</v>
      </c>
      <c r="G42">
        <v>80850.61</v>
      </c>
      <c r="H42" t="s">
        <v>575</v>
      </c>
      <c r="I42">
        <v>2026</v>
      </c>
      <c r="J42" t="str">
        <f>_xlfn.XLOOKUP(sales[[#This Row],[Product_ID]],products[Product_ID],products[Product_Name])</f>
        <v>Monitor 4</v>
      </c>
      <c r="K42" t="str">
        <f>_xlfn.XLOOKUP(sales[[#This Row],[Store_ID]],stores[Store_ID],stores[Store_Name])</f>
        <v>Warangal Store</v>
      </c>
      <c r="L42" t="str">
        <f>_xlfn.XLOOKUP(sales[[#This Row],[Customer_ID]],customers[Customer_ID],customers[Customer_Name])</f>
        <v>Divya_52</v>
      </c>
      <c r="M42" t="str">
        <f>IF(sales[[#This Row],[Total_Amount]]&gt;=50000,"High Sales","Low Sales")</f>
        <v>High Sales</v>
      </c>
      <c r="N42">
        <f>sales[[#This Row],[Total_Amount]]/sales[[#This Row],[Quantity]]</f>
        <v>80850.61</v>
      </c>
    </row>
    <row r="43" spans="1:14" x14ac:dyDescent="0.3">
      <c r="A43" t="s">
        <v>606</v>
      </c>
      <c r="B43">
        <v>1118</v>
      </c>
      <c r="C43" t="s">
        <v>114</v>
      </c>
      <c r="D43" t="s">
        <v>42</v>
      </c>
      <c r="E43" t="s">
        <v>607</v>
      </c>
      <c r="F43">
        <v>5</v>
      </c>
      <c r="G43">
        <v>276735.5</v>
      </c>
      <c r="H43" t="s">
        <v>531</v>
      </c>
      <c r="I43">
        <v>2025</v>
      </c>
      <c r="J43" t="str">
        <f>_xlfn.XLOOKUP(sales[[#This Row],[Product_ID]],products[Product_ID],products[Product_Name])</f>
        <v>Mixer 22</v>
      </c>
      <c r="K43" t="str">
        <f>_xlfn.XLOOKUP(sales[[#This Row],[Store_ID]],stores[Store_ID],stores[Store_Name])</f>
        <v>Hyderabad Store</v>
      </c>
      <c r="L43" t="str">
        <f>_xlfn.XLOOKUP(sales[[#This Row],[Customer_ID]],customers[Customer_ID],customers[Customer_Name])</f>
        <v>Ravi_118</v>
      </c>
      <c r="M43" t="str">
        <f>IF(sales[[#This Row],[Total_Amount]]&gt;=50000,"High Sales","Low Sales")</f>
        <v>High Sales</v>
      </c>
      <c r="N43">
        <f>sales[[#This Row],[Total_Amount]]/sales[[#This Row],[Quantity]]</f>
        <v>55347.1</v>
      </c>
    </row>
    <row r="44" spans="1:14" x14ac:dyDescent="0.3">
      <c r="A44" t="s">
        <v>608</v>
      </c>
      <c r="B44">
        <v>1145</v>
      </c>
      <c r="C44" t="s">
        <v>100</v>
      </c>
      <c r="D44" t="s">
        <v>57</v>
      </c>
      <c r="E44" t="s">
        <v>542</v>
      </c>
      <c r="F44">
        <v>5</v>
      </c>
      <c r="G44">
        <v>405831.45</v>
      </c>
      <c r="H44" t="s">
        <v>525</v>
      </c>
      <c r="I44">
        <v>2026</v>
      </c>
      <c r="J44" t="str">
        <f>_xlfn.XLOOKUP(sales[[#This Row],[Product_ID]],products[Product_ID],products[Product_Name])</f>
        <v>Tablet 15</v>
      </c>
      <c r="K44" t="str">
        <f>_xlfn.XLOOKUP(sales[[#This Row],[Store_ID]],stores[Store_ID],stores[Store_Name])</f>
        <v>Bengaluru Store</v>
      </c>
      <c r="L44" t="str">
        <f>_xlfn.XLOOKUP(sales[[#This Row],[Customer_ID]],customers[Customer_ID],customers[Customer_Name])</f>
        <v>Kiran_145</v>
      </c>
      <c r="M44" t="str">
        <f>IF(sales[[#This Row],[Total_Amount]]&gt;=50000,"High Sales","Low Sales")</f>
        <v>High Sales</v>
      </c>
      <c r="N44">
        <f>sales[[#This Row],[Total_Amount]]/sales[[#This Row],[Quantity]]</f>
        <v>81166.290000000008</v>
      </c>
    </row>
    <row r="45" spans="1:14" x14ac:dyDescent="0.3">
      <c r="A45" t="s">
        <v>609</v>
      </c>
      <c r="B45">
        <v>1047</v>
      </c>
      <c r="C45" t="s">
        <v>124</v>
      </c>
      <c r="D45" t="s">
        <v>62</v>
      </c>
      <c r="E45" t="s">
        <v>610</v>
      </c>
      <c r="F45">
        <v>1</v>
      </c>
      <c r="G45">
        <v>41558.22</v>
      </c>
      <c r="H45" t="s">
        <v>525</v>
      </c>
      <c r="I45">
        <v>2026</v>
      </c>
      <c r="J45" t="str">
        <f>_xlfn.XLOOKUP(sales[[#This Row],[Product_ID]],products[Product_ID],products[Product_Name])</f>
        <v>Mixer 27</v>
      </c>
      <c r="K45" t="str">
        <f>_xlfn.XLOOKUP(sales[[#This Row],[Store_ID]],stores[Store_ID],stores[Store_Name])</f>
        <v>Pune Store</v>
      </c>
      <c r="L45" t="str">
        <f>_xlfn.XLOOKUP(sales[[#This Row],[Customer_ID]],customers[Customer_ID],customers[Customer_Name])</f>
        <v>Nikhil_47</v>
      </c>
      <c r="M45" t="str">
        <f>IF(sales[[#This Row],[Total_Amount]]&gt;=50000,"High Sales","Low Sales")</f>
        <v>Low Sales</v>
      </c>
      <c r="N45">
        <f>sales[[#This Row],[Total_Amount]]/sales[[#This Row],[Quantity]]</f>
        <v>41558.22</v>
      </c>
    </row>
    <row r="46" spans="1:14" x14ac:dyDescent="0.3">
      <c r="A46" t="s">
        <v>611</v>
      </c>
      <c r="B46">
        <v>1189</v>
      </c>
      <c r="C46" t="s">
        <v>126</v>
      </c>
      <c r="D46" t="s">
        <v>62</v>
      </c>
      <c r="E46" t="s">
        <v>612</v>
      </c>
      <c r="F46">
        <v>1</v>
      </c>
      <c r="G46">
        <v>82933</v>
      </c>
      <c r="H46" t="s">
        <v>522</v>
      </c>
      <c r="I46">
        <v>2025</v>
      </c>
      <c r="J46" t="str">
        <f>_xlfn.XLOOKUP(sales[[#This Row],[Product_ID]],products[Product_ID],products[Product_Name])</f>
        <v>Router 28</v>
      </c>
      <c r="K46" t="str">
        <f>_xlfn.XLOOKUP(sales[[#This Row],[Store_ID]],stores[Store_ID],stores[Store_Name])</f>
        <v>Pune Store</v>
      </c>
      <c r="L46" t="str">
        <f>_xlfn.XLOOKUP(sales[[#This Row],[Customer_ID]],customers[Customer_ID],customers[Customer_Name])</f>
        <v>Priya_189</v>
      </c>
      <c r="M46" t="str">
        <f>IF(sales[[#This Row],[Total_Amount]]&gt;=50000,"High Sales","Low Sales")</f>
        <v>High Sales</v>
      </c>
      <c r="N46">
        <f>sales[[#This Row],[Total_Amount]]/sales[[#This Row],[Quantity]]</f>
        <v>82933</v>
      </c>
    </row>
    <row r="47" spans="1:14" x14ac:dyDescent="0.3">
      <c r="A47" t="s">
        <v>613</v>
      </c>
      <c r="B47">
        <v>1023</v>
      </c>
      <c r="C47" t="s">
        <v>122</v>
      </c>
      <c r="D47" t="s">
        <v>50</v>
      </c>
      <c r="E47" t="s">
        <v>272</v>
      </c>
      <c r="F47">
        <v>1</v>
      </c>
      <c r="G47">
        <v>90174.76</v>
      </c>
      <c r="H47" t="s">
        <v>545</v>
      </c>
      <c r="I47">
        <v>2025</v>
      </c>
      <c r="J47" t="str">
        <f>_xlfn.XLOOKUP(sales[[#This Row],[Product_ID]],products[Product_ID],products[Product_Name])</f>
        <v>Router 26</v>
      </c>
      <c r="K47" t="str">
        <f>_xlfn.XLOOKUP(sales[[#This Row],[Store_ID]],stores[Store_ID],stores[Store_Name])</f>
        <v>Guntur Store</v>
      </c>
      <c r="L47" t="str">
        <f>_xlfn.XLOOKUP(sales[[#This Row],[Customer_ID]],customers[Customer_ID],customers[Customer_Name])</f>
        <v>Arjun_23</v>
      </c>
      <c r="M47" t="str">
        <f>IF(sales[[#This Row],[Total_Amount]]&gt;=50000,"High Sales","Low Sales")</f>
        <v>High Sales</v>
      </c>
      <c r="N47">
        <f>sales[[#This Row],[Total_Amount]]/sales[[#This Row],[Quantity]]</f>
        <v>90174.76</v>
      </c>
    </row>
    <row r="48" spans="1:14" x14ac:dyDescent="0.3">
      <c r="A48" t="s">
        <v>614</v>
      </c>
      <c r="B48">
        <v>1012</v>
      </c>
      <c r="C48" t="s">
        <v>98</v>
      </c>
      <c r="D48" t="s">
        <v>59</v>
      </c>
      <c r="E48" t="s">
        <v>615</v>
      </c>
      <c r="F48">
        <v>5</v>
      </c>
      <c r="G48">
        <v>502978.75</v>
      </c>
      <c r="H48" t="s">
        <v>534</v>
      </c>
      <c r="I48">
        <v>2025</v>
      </c>
      <c r="J48" t="str">
        <f>_xlfn.XLOOKUP(sales[[#This Row],[Product_ID]],products[Product_ID],products[Product_Name])</f>
        <v>Camera 14</v>
      </c>
      <c r="K48" t="str">
        <f>_xlfn.XLOOKUP(sales[[#This Row],[Store_ID]],stores[Store_ID],stores[Store_Name])</f>
        <v>Chennai Store</v>
      </c>
      <c r="L48" t="str">
        <f>_xlfn.XLOOKUP(sales[[#This Row],[Customer_ID]],customers[Customer_ID],customers[Customer_Name])</f>
        <v>Anjali_12</v>
      </c>
      <c r="M48" t="str">
        <f>IF(sales[[#This Row],[Total_Amount]]&gt;=50000,"High Sales","Low Sales")</f>
        <v>High Sales</v>
      </c>
      <c r="N48">
        <f>sales[[#This Row],[Total_Amount]]/sales[[#This Row],[Quantity]]</f>
        <v>100595.75</v>
      </c>
    </row>
    <row r="49" spans="1:14" x14ac:dyDescent="0.3">
      <c r="A49" t="s">
        <v>616</v>
      </c>
      <c r="B49">
        <v>1042</v>
      </c>
      <c r="C49" t="s">
        <v>106</v>
      </c>
      <c r="D49" t="s">
        <v>53</v>
      </c>
      <c r="E49" t="s">
        <v>617</v>
      </c>
      <c r="F49">
        <v>2</v>
      </c>
      <c r="G49">
        <v>54286.96</v>
      </c>
      <c r="H49" t="s">
        <v>545</v>
      </c>
      <c r="I49">
        <v>2026</v>
      </c>
      <c r="J49" t="str">
        <f>_xlfn.XLOOKUP(sales[[#This Row],[Product_ID]],products[Product_ID],products[Product_Name])</f>
        <v>Microwave 18</v>
      </c>
      <c r="K49" t="str">
        <f>_xlfn.XLOOKUP(sales[[#This Row],[Store_ID]],stores[Store_ID],stores[Store_Name])</f>
        <v>Warangal Store</v>
      </c>
      <c r="L49" t="str">
        <f>_xlfn.XLOOKUP(sales[[#This Row],[Customer_ID]],customers[Customer_ID],customers[Customer_Name])</f>
        <v>Nikhil_42</v>
      </c>
      <c r="M49" t="str">
        <f>IF(sales[[#This Row],[Total_Amount]]&gt;=50000,"High Sales","Low Sales")</f>
        <v>High Sales</v>
      </c>
      <c r="N49">
        <f>sales[[#This Row],[Total_Amount]]/sales[[#This Row],[Quantity]]</f>
        <v>27143.48</v>
      </c>
    </row>
    <row r="50" spans="1:14" x14ac:dyDescent="0.3">
      <c r="A50" t="s">
        <v>618</v>
      </c>
      <c r="B50">
        <v>1009</v>
      </c>
      <c r="C50" t="s">
        <v>69</v>
      </c>
      <c r="D50" t="s">
        <v>53</v>
      </c>
      <c r="E50" t="s">
        <v>619</v>
      </c>
      <c r="F50">
        <v>4</v>
      </c>
      <c r="G50">
        <v>122808.8</v>
      </c>
      <c r="H50" t="s">
        <v>531</v>
      </c>
      <c r="I50">
        <v>2026</v>
      </c>
      <c r="J50" t="str">
        <f>_xlfn.XLOOKUP(sales[[#This Row],[Product_ID]],products[Product_ID],products[Product_Name])</f>
        <v>Headphones 1</v>
      </c>
      <c r="K50" t="str">
        <f>_xlfn.XLOOKUP(sales[[#This Row],[Store_ID]],stores[Store_ID],stores[Store_Name])</f>
        <v>Warangal Store</v>
      </c>
      <c r="L50" t="str">
        <f>_xlfn.XLOOKUP(sales[[#This Row],[Customer_ID]],customers[Customer_ID],customers[Customer_Name])</f>
        <v>Akhil_9</v>
      </c>
      <c r="M50" t="str">
        <f>IF(sales[[#This Row],[Total_Amount]]&gt;=50000,"High Sales","Low Sales")</f>
        <v>High Sales</v>
      </c>
      <c r="N50">
        <f>sales[[#This Row],[Total_Amount]]/sales[[#This Row],[Quantity]]</f>
        <v>30702.2</v>
      </c>
    </row>
    <row r="51" spans="1:14" x14ac:dyDescent="0.3">
      <c r="A51" t="s">
        <v>620</v>
      </c>
      <c r="B51">
        <v>1116</v>
      </c>
      <c r="C51" t="s">
        <v>116</v>
      </c>
      <c r="D51" t="s">
        <v>57</v>
      </c>
      <c r="E51" t="s">
        <v>621</v>
      </c>
      <c r="F51">
        <v>2</v>
      </c>
      <c r="G51">
        <v>93380.46</v>
      </c>
      <c r="H51" t="s">
        <v>558</v>
      </c>
      <c r="I51">
        <v>2026</v>
      </c>
      <c r="J51" t="str">
        <f>_xlfn.XLOOKUP(sales[[#This Row],[Product_ID]],products[Product_ID],products[Product_Name])</f>
        <v>Microwave 23</v>
      </c>
      <c r="K51" t="str">
        <f>_xlfn.XLOOKUP(sales[[#This Row],[Store_ID]],stores[Store_ID],stores[Store_Name])</f>
        <v>Bengaluru Store</v>
      </c>
      <c r="L51" t="str">
        <f>_xlfn.XLOOKUP(sales[[#This Row],[Customer_ID]],customers[Customer_ID],customers[Customer_Name])</f>
        <v>Priya_116</v>
      </c>
      <c r="M51" t="str">
        <f>IF(sales[[#This Row],[Total_Amount]]&gt;=50000,"High Sales","Low Sales")</f>
        <v>High Sales</v>
      </c>
      <c r="N51">
        <f>sales[[#This Row],[Total_Amount]]/sales[[#This Row],[Quantity]]</f>
        <v>46690.23</v>
      </c>
    </row>
    <row r="52" spans="1:14" x14ac:dyDescent="0.3">
      <c r="A52" t="s">
        <v>622</v>
      </c>
      <c r="B52">
        <v>1040</v>
      </c>
      <c r="C52" t="s">
        <v>75</v>
      </c>
      <c r="D52" t="s">
        <v>59</v>
      </c>
      <c r="E52" t="s">
        <v>623</v>
      </c>
      <c r="F52">
        <v>3</v>
      </c>
      <c r="G52">
        <v>211235.46</v>
      </c>
      <c r="H52" t="s">
        <v>575</v>
      </c>
      <c r="I52">
        <v>2025</v>
      </c>
      <c r="J52" t="str">
        <f>_xlfn.XLOOKUP(sales[[#This Row],[Product_ID]],products[Product_ID],products[Product_Name])</f>
        <v>Smart Watch 3</v>
      </c>
      <c r="K52" t="str">
        <f>_xlfn.XLOOKUP(sales[[#This Row],[Store_ID]],stores[Store_ID],stores[Store_Name])</f>
        <v>Chennai Store</v>
      </c>
      <c r="L52" t="str">
        <f>_xlfn.XLOOKUP(sales[[#This Row],[Customer_ID]],customers[Customer_ID],customers[Customer_Name])</f>
        <v>Sneha_40</v>
      </c>
      <c r="M52" t="str">
        <f>IF(sales[[#This Row],[Total_Amount]]&gt;=50000,"High Sales","Low Sales")</f>
        <v>High Sales</v>
      </c>
      <c r="N52">
        <f>sales[[#This Row],[Total_Amount]]/sales[[#This Row],[Quantity]]</f>
        <v>70411.819999999992</v>
      </c>
    </row>
    <row r="53" spans="1:14" x14ac:dyDescent="0.3">
      <c r="A53" t="s">
        <v>624</v>
      </c>
      <c r="B53">
        <v>1182</v>
      </c>
      <c r="C53" t="s">
        <v>126</v>
      </c>
      <c r="D53" t="s">
        <v>46</v>
      </c>
      <c r="E53" t="s">
        <v>625</v>
      </c>
      <c r="F53">
        <v>5</v>
      </c>
      <c r="G53">
        <v>376986.45</v>
      </c>
      <c r="H53" t="s">
        <v>558</v>
      </c>
      <c r="I53">
        <v>2026</v>
      </c>
      <c r="J53" t="str">
        <f>_xlfn.XLOOKUP(sales[[#This Row],[Product_ID]],products[Product_ID],products[Product_Name])</f>
        <v>Router 28</v>
      </c>
      <c r="K53" t="str">
        <f>_xlfn.XLOOKUP(sales[[#This Row],[Store_ID]],stores[Store_ID],stores[Store_Name])</f>
        <v>Vijayawada Store</v>
      </c>
      <c r="L53" t="str">
        <f>_xlfn.XLOOKUP(sales[[#This Row],[Customer_ID]],customers[Customer_ID],customers[Customer_Name])</f>
        <v>Keerthi_182</v>
      </c>
      <c r="M53" t="str">
        <f>IF(sales[[#This Row],[Total_Amount]]&gt;=50000,"High Sales","Low Sales")</f>
        <v>High Sales</v>
      </c>
      <c r="N53">
        <f>sales[[#This Row],[Total_Amount]]/sales[[#This Row],[Quantity]]</f>
        <v>75397.290000000008</v>
      </c>
    </row>
    <row r="54" spans="1:14" x14ac:dyDescent="0.3">
      <c r="A54" t="s">
        <v>626</v>
      </c>
      <c r="B54">
        <v>1094</v>
      </c>
      <c r="C54" t="s">
        <v>96</v>
      </c>
      <c r="D54" t="s">
        <v>53</v>
      </c>
      <c r="E54" t="s">
        <v>565</v>
      </c>
      <c r="F54">
        <v>1</v>
      </c>
      <c r="G54">
        <v>54790.51</v>
      </c>
      <c r="H54" t="s">
        <v>558</v>
      </c>
      <c r="I54">
        <v>2026</v>
      </c>
      <c r="J54" t="str">
        <f>_xlfn.XLOOKUP(sales[[#This Row],[Product_ID]],products[Product_ID],products[Product_Name])</f>
        <v>Printer 13</v>
      </c>
      <c r="K54" t="str">
        <f>_xlfn.XLOOKUP(sales[[#This Row],[Store_ID]],stores[Store_ID],stores[Store_Name])</f>
        <v>Warangal Store</v>
      </c>
      <c r="L54" t="str">
        <f>_xlfn.XLOOKUP(sales[[#This Row],[Customer_ID]],customers[Customer_ID],customers[Customer_Name])</f>
        <v>Keerthi_94</v>
      </c>
      <c r="M54" t="str">
        <f>IF(sales[[#This Row],[Total_Amount]]&gt;=50000,"High Sales","Low Sales")</f>
        <v>High Sales</v>
      </c>
      <c r="N54">
        <f>sales[[#This Row],[Total_Amount]]/sales[[#This Row],[Quantity]]</f>
        <v>54790.51</v>
      </c>
    </row>
    <row r="55" spans="1:14" x14ac:dyDescent="0.3">
      <c r="A55" t="s">
        <v>627</v>
      </c>
      <c r="B55">
        <v>1098</v>
      </c>
      <c r="C55" t="s">
        <v>88</v>
      </c>
      <c r="D55" t="s">
        <v>48</v>
      </c>
      <c r="E55" t="s">
        <v>188</v>
      </c>
      <c r="F55">
        <v>1</v>
      </c>
      <c r="G55">
        <v>47540.54</v>
      </c>
      <c r="H55" t="s">
        <v>540</v>
      </c>
      <c r="I55">
        <v>2025</v>
      </c>
      <c r="J55" t="str">
        <f>_xlfn.XLOOKUP(sales[[#This Row],[Product_ID]],products[Product_ID],products[Product_Name])</f>
        <v>Headphones 9</v>
      </c>
      <c r="K55" t="str">
        <f>_xlfn.XLOOKUP(sales[[#This Row],[Store_ID]],stores[Store_ID],stores[Store_Name])</f>
        <v>Visakhapatnam Store</v>
      </c>
      <c r="L55" t="str">
        <f>_xlfn.XLOOKUP(sales[[#This Row],[Customer_ID]],customers[Customer_ID],customers[Customer_Name])</f>
        <v>Ravi_98</v>
      </c>
      <c r="M55" t="str">
        <f>IF(sales[[#This Row],[Total_Amount]]&gt;=50000,"High Sales","Low Sales")</f>
        <v>Low Sales</v>
      </c>
      <c r="N55">
        <f>sales[[#This Row],[Total_Amount]]/sales[[#This Row],[Quantity]]</f>
        <v>47540.54</v>
      </c>
    </row>
    <row r="56" spans="1:14" x14ac:dyDescent="0.3">
      <c r="A56" t="s">
        <v>628</v>
      </c>
      <c r="B56">
        <v>1101</v>
      </c>
      <c r="C56" t="s">
        <v>96</v>
      </c>
      <c r="D56" t="s">
        <v>53</v>
      </c>
      <c r="E56" t="s">
        <v>629</v>
      </c>
      <c r="F56">
        <v>2</v>
      </c>
      <c r="G56">
        <v>194807.84</v>
      </c>
      <c r="H56" t="s">
        <v>525</v>
      </c>
      <c r="I56">
        <v>2025</v>
      </c>
      <c r="J56" t="str">
        <f>_xlfn.XLOOKUP(sales[[#This Row],[Product_ID]],products[Product_ID],products[Product_Name])</f>
        <v>Printer 13</v>
      </c>
      <c r="K56" t="str">
        <f>_xlfn.XLOOKUP(sales[[#This Row],[Store_ID]],stores[Store_ID],stores[Store_Name])</f>
        <v>Warangal Store</v>
      </c>
      <c r="L56" t="str">
        <f>_xlfn.XLOOKUP(sales[[#This Row],[Customer_ID]],customers[Customer_ID],customers[Customer_Name])</f>
        <v>Anjali_101</v>
      </c>
      <c r="M56" t="str">
        <f>IF(sales[[#This Row],[Total_Amount]]&gt;=50000,"High Sales","Low Sales")</f>
        <v>High Sales</v>
      </c>
      <c r="N56">
        <f>sales[[#This Row],[Total_Amount]]/sales[[#This Row],[Quantity]]</f>
        <v>97403.92</v>
      </c>
    </row>
    <row r="57" spans="1:14" x14ac:dyDescent="0.3">
      <c r="A57" t="s">
        <v>630</v>
      </c>
      <c r="B57">
        <v>1055</v>
      </c>
      <c r="C57" t="s">
        <v>77</v>
      </c>
      <c r="D57" t="s">
        <v>48</v>
      </c>
      <c r="E57" t="s">
        <v>631</v>
      </c>
      <c r="F57">
        <v>2</v>
      </c>
      <c r="G57">
        <v>71739.600000000006</v>
      </c>
      <c r="H57" t="s">
        <v>522</v>
      </c>
      <c r="I57">
        <v>2025</v>
      </c>
      <c r="J57" t="str">
        <f>_xlfn.XLOOKUP(sales[[#This Row],[Product_ID]],products[Product_ID],products[Product_Name])</f>
        <v>Monitor 4</v>
      </c>
      <c r="K57" t="str">
        <f>_xlfn.XLOOKUP(sales[[#This Row],[Store_ID]],stores[Store_ID],stores[Store_Name])</f>
        <v>Visakhapatnam Store</v>
      </c>
      <c r="L57" t="str">
        <f>_xlfn.XLOOKUP(sales[[#This Row],[Customer_ID]],customers[Customer_ID],customers[Customer_Name])</f>
        <v>Divya_55</v>
      </c>
      <c r="M57" t="str">
        <f>IF(sales[[#This Row],[Total_Amount]]&gt;=50000,"High Sales","Low Sales")</f>
        <v>High Sales</v>
      </c>
      <c r="N57">
        <f>sales[[#This Row],[Total_Amount]]/sales[[#This Row],[Quantity]]</f>
        <v>35869.800000000003</v>
      </c>
    </row>
    <row r="58" spans="1:14" x14ac:dyDescent="0.3">
      <c r="A58" t="s">
        <v>632</v>
      </c>
      <c r="B58">
        <v>1078</v>
      </c>
      <c r="C58" t="s">
        <v>102</v>
      </c>
      <c r="D58" t="s">
        <v>62</v>
      </c>
      <c r="E58" t="s">
        <v>633</v>
      </c>
      <c r="F58">
        <v>5</v>
      </c>
      <c r="G58">
        <v>516690.8</v>
      </c>
      <c r="H58" t="s">
        <v>575</v>
      </c>
      <c r="I58">
        <v>2026</v>
      </c>
      <c r="J58" t="str">
        <f>_xlfn.XLOOKUP(sales[[#This Row],[Product_ID]],products[Product_ID],products[Product_Name])</f>
        <v>Power Bank 16</v>
      </c>
      <c r="K58" t="str">
        <f>_xlfn.XLOOKUP(sales[[#This Row],[Store_ID]],stores[Store_ID],stores[Store_Name])</f>
        <v>Pune Store</v>
      </c>
      <c r="L58" t="str">
        <f>_xlfn.XLOOKUP(sales[[#This Row],[Customer_ID]],customers[Customer_ID],customers[Customer_Name])</f>
        <v>Pooja_78</v>
      </c>
      <c r="M58" t="str">
        <f>IF(sales[[#This Row],[Total_Amount]]&gt;=50000,"High Sales","Low Sales")</f>
        <v>High Sales</v>
      </c>
      <c r="N58">
        <f>sales[[#This Row],[Total_Amount]]/sales[[#This Row],[Quantity]]</f>
        <v>103338.16</v>
      </c>
    </row>
    <row r="59" spans="1:14" x14ac:dyDescent="0.3">
      <c r="A59" t="s">
        <v>634</v>
      </c>
      <c r="B59">
        <v>1186</v>
      </c>
      <c r="C59" t="s">
        <v>75</v>
      </c>
      <c r="D59" t="s">
        <v>62</v>
      </c>
      <c r="E59" t="s">
        <v>635</v>
      </c>
      <c r="F59">
        <v>3</v>
      </c>
      <c r="G59">
        <v>185229.21</v>
      </c>
      <c r="H59" t="s">
        <v>525</v>
      </c>
      <c r="I59">
        <v>2025</v>
      </c>
      <c r="J59" t="str">
        <f>_xlfn.XLOOKUP(sales[[#This Row],[Product_ID]],products[Product_ID],products[Product_Name])</f>
        <v>Smart Watch 3</v>
      </c>
      <c r="K59" t="str">
        <f>_xlfn.XLOOKUP(sales[[#This Row],[Store_ID]],stores[Store_ID],stores[Store_Name])</f>
        <v>Pune Store</v>
      </c>
      <c r="L59" t="str">
        <f>_xlfn.XLOOKUP(sales[[#This Row],[Customer_ID]],customers[Customer_ID],customers[Customer_Name])</f>
        <v>Keerthi_186</v>
      </c>
      <c r="M59" t="str">
        <f>IF(sales[[#This Row],[Total_Amount]]&gt;=50000,"High Sales","Low Sales")</f>
        <v>High Sales</v>
      </c>
      <c r="N59">
        <f>sales[[#This Row],[Total_Amount]]/sales[[#This Row],[Quantity]]</f>
        <v>61743.07</v>
      </c>
    </row>
    <row r="60" spans="1:14" x14ac:dyDescent="0.3">
      <c r="A60" t="s">
        <v>636</v>
      </c>
      <c r="B60">
        <v>1175</v>
      </c>
      <c r="C60" t="s">
        <v>106</v>
      </c>
      <c r="D60" t="s">
        <v>53</v>
      </c>
      <c r="E60" t="s">
        <v>629</v>
      </c>
      <c r="F60">
        <v>2</v>
      </c>
      <c r="G60">
        <v>13427.46</v>
      </c>
      <c r="H60" t="s">
        <v>525</v>
      </c>
      <c r="I60">
        <v>2025</v>
      </c>
      <c r="J60" t="str">
        <f>_xlfn.XLOOKUP(sales[[#This Row],[Product_ID]],products[Product_ID],products[Product_Name])</f>
        <v>Microwave 18</v>
      </c>
      <c r="K60" t="str">
        <f>_xlfn.XLOOKUP(sales[[#This Row],[Store_ID]],stores[Store_ID],stores[Store_Name])</f>
        <v>Warangal Store</v>
      </c>
      <c r="L60" t="str">
        <f>_xlfn.XLOOKUP(sales[[#This Row],[Customer_ID]],customers[Customer_ID],customers[Customer_Name])</f>
        <v>Ramesh_175</v>
      </c>
      <c r="M60" t="str">
        <f>IF(sales[[#This Row],[Total_Amount]]&gt;=50000,"High Sales","Low Sales")</f>
        <v>Low Sales</v>
      </c>
      <c r="N60">
        <f>sales[[#This Row],[Total_Amount]]/sales[[#This Row],[Quantity]]</f>
        <v>6713.73</v>
      </c>
    </row>
    <row r="61" spans="1:14" x14ac:dyDescent="0.3">
      <c r="A61" t="s">
        <v>637</v>
      </c>
      <c r="B61">
        <v>1149</v>
      </c>
      <c r="C61" t="s">
        <v>96</v>
      </c>
      <c r="D61" t="s">
        <v>57</v>
      </c>
      <c r="E61" t="s">
        <v>638</v>
      </c>
      <c r="F61">
        <v>5</v>
      </c>
      <c r="G61">
        <v>12930.85</v>
      </c>
      <c r="H61" t="s">
        <v>522</v>
      </c>
      <c r="I61">
        <v>2025</v>
      </c>
      <c r="J61" t="str">
        <f>_xlfn.XLOOKUP(sales[[#This Row],[Product_ID]],products[Product_ID],products[Product_Name])</f>
        <v>Printer 13</v>
      </c>
      <c r="K61" t="str">
        <f>_xlfn.XLOOKUP(sales[[#This Row],[Store_ID]],stores[Store_ID],stores[Store_Name])</f>
        <v>Bengaluru Store</v>
      </c>
      <c r="L61" t="str">
        <f>_xlfn.XLOOKUP(sales[[#This Row],[Customer_ID]],customers[Customer_ID],customers[Customer_Name])</f>
        <v>Akhil_149</v>
      </c>
      <c r="M61" t="str">
        <f>IF(sales[[#This Row],[Total_Amount]]&gt;=50000,"High Sales","Low Sales")</f>
        <v>Low Sales</v>
      </c>
      <c r="N61">
        <f>sales[[#This Row],[Total_Amount]]/sales[[#This Row],[Quantity]]</f>
        <v>2586.17</v>
      </c>
    </row>
    <row r="62" spans="1:14" x14ac:dyDescent="0.3">
      <c r="A62" t="s">
        <v>639</v>
      </c>
      <c r="B62">
        <v>1154</v>
      </c>
      <c r="C62" t="s">
        <v>102</v>
      </c>
      <c r="D62" t="s">
        <v>46</v>
      </c>
      <c r="E62" t="s">
        <v>567</v>
      </c>
      <c r="F62">
        <v>4</v>
      </c>
      <c r="G62">
        <v>195479.28</v>
      </c>
      <c r="H62" t="s">
        <v>525</v>
      </c>
      <c r="I62">
        <v>2025</v>
      </c>
      <c r="J62" t="str">
        <f>_xlfn.XLOOKUP(sales[[#This Row],[Product_ID]],products[Product_ID],products[Product_Name])</f>
        <v>Power Bank 16</v>
      </c>
      <c r="K62" t="str">
        <f>_xlfn.XLOOKUP(sales[[#This Row],[Store_ID]],stores[Store_ID],stores[Store_Name])</f>
        <v>Vijayawada Store</v>
      </c>
      <c r="L62" t="str">
        <f>_xlfn.XLOOKUP(sales[[#This Row],[Customer_ID]],customers[Customer_ID],customers[Customer_Name])</f>
        <v>Priya_154</v>
      </c>
      <c r="M62" t="str">
        <f>IF(sales[[#This Row],[Total_Amount]]&gt;=50000,"High Sales","Low Sales")</f>
        <v>High Sales</v>
      </c>
      <c r="N62">
        <f>sales[[#This Row],[Total_Amount]]/sales[[#This Row],[Quantity]]</f>
        <v>48869.82</v>
      </c>
    </row>
    <row r="63" spans="1:14" x14ac:dyDescent="0.3">
      <c r="A63" t="s">
        <v>640</v>
      </c>
      <c r="B63">
        <v>1110</v>
      </c>
      <c r="C63" t="s">
        <v>75</v>
      </c>
      <c r="D63" t="s">
        <v>62</v>
      </c>
      <c r="E63" t="s">
        <v>641</v>
      </c>
      <c r="F63">
        <v>3</v>
      </c>
      <c r="G63">
        <v>349012.32</v>
      </c>
      <c r="H63" t="s">
        <v>572</v>
      </c>
      <c r="I63">
        <v>2025</v>
      </c>
      <c r="J63" t="str">
        <f>_xlfn.XLOOKUP(sales[[#This Row],[Product_ID]],products[Product_ID],products[Product_Name])</f>
        <v>Smart Watch 3</v>
      </c>
      <c r="K63" t="str">
        <f>_xlfn.XLOOKUP(sales[[#This Row],[Store_ID]],stores[Store_ID],stores[Store_Name])</f>
        <v>Pune Store</v>
      </c>
      <c r="L63" t="str">
        <f>_xlfn.XLOOKUP(sales[[#This Row],[Customer_ID]],customers[Customer_ID],customers[Customer_Name])</f>
        <v>Sita_110</v>
      </c>
      <c r="M63" t="str">
        <f>IF(sales[[#This Row],[Total_Amount]]&gt;=50000,"High Sales","Low Sales")</f>
        <v>High Sales</v>
      </c>
      <c r="N63">
        <f>sales[[#This Row],[Total_Amount]]/sales[[#This Row],[Quantity]]</f>
        <v>116337.44</v>
      </c>
    </row>
    <row r="64" spans="1:14" x14ac:dyDescent="0.3">
      <c r="A64" t="s">
        <v>642</v>
      </c>
      <c r="B64">
        <v>1170</v>
      </c>
      <c r="C64" t="s">
        <v>81</v>
      </c>
      <c r="D64" t="s">
        <v>42</v>
      </c>
      <c r="E64" t="s">
        <v>583</v>
      </c>
      <c r="F64">
        <v>3</v>
      </c>
      <c r="G64">
        <v>93653.73</v>
      </c>
      <c r="H64" t="s">
        <v>534</v>
      </c>
      <c r="I64">
        <v>2025</v>
      </c>
      <c r="J64" t="str">
        <f>_xlfn.XLOOKUP(sales[[#This Row],[Product_ID]],products[Product_ID],products[Product_Name])</f>
        <v>Camera 6</v>
      </c>
      <c r="K64" t="str">
        <f>_xlfn.XLOOKUP(sales[[#This Row],[Store_ID]],stores[Store_ID],stores[Store_Name])</f>
        <v>Hyderabad Store</v>
      </c>
      <c r="L64" t="str">
        <f>_xlfn.XLOOKUP(sales[[#This Row],[Customer_ID]],customers[Customer_ID],customers[Customer_Name])</f>
        <v>Ravi_170</v>
      </c>
      <c r="M64" t="str">
        <f>IF(sales[[#This Row],[Total_Amount]]&gt;=50000,"High Sales","Low Sales")</f>
        <v>High Sales</v>
      </c>
      <c r="N64">
        <f>sales[[#This Row],[Total_Amount]]/sales[[#This Row],[Quantity]]</f>
        <v>31217.91</v>
      </c>
    </row>
    <row r="65" spans="1:14" x14ac:dyDescent="0.3">
      <c r="A65" t="s">
        <v>643</v>
      </c>
      <c r="B65">
        <v>1054</v>
      </c>
      <c r="C65" t="s">
        <v>98</v>
      </c>
      <c r="D65" t="s">
        <v>53</v>
      </c>
      <c r="E65" t="s">
        <v>644</v>
      </c>
      <c r="F65">
        <v>3</v>
      </c>
      <c r="G65">
        <v>301710.93</v>
      </c>
      <c r="H65" t="s">
        <v>575</v>
      </c>
      <c r="I65">
        <v>2026</v>
      </c>
      <c r="J65" t="str">
        <f>_xlfn.XLOOKUP(sales[[#This Row],[Product_ID]],products[Product_ID],products[Product_Name])</f>
        <v>Camera 14</v>
      </c>
      <c r="K65" t="str">
        <f>_xlfn.XLOOKUP(sales[[#This Row],[Store_ID]],stores[Store_ID],stores[Store_Name])</f>
        <v>Warangal Store</v>
      </c>
      <c r="L65" t="str">
        <f>_xlfn.XLOOKUP(sales[[#This Row],[Customer_ID]],customers[Customer_ID],customers[Customer_Name])</f>
        <v>Keerthi_54</v>
      </c>
      <c r="M65" t="str">
        <f>IF(sales[[#This Row],[Total_Amount]]&gt;=50000,"High Sales","Low Sales")</f>
        <v>High Sales</v>
      </c>
      <c r="N65">
        <f>sales[[#This Row],[Total_Amount]]/sales[[#This Row],[Quantity]]</f>
        <v>100570.31</v>
      </c>
    </row>
    <row r="66" spans="1:14" x14ac:dyDescent="0.3">
      <c r="A66" t="s">
        <v>645</v>
      </c>
      <c r="B66">
        <v>1004</v>
      </c>
      <c r="C66" t="s">
        <v>122</v>
      </c>
      <c r="D66" t="s">
        <v>50</v>
      </c>
      <c r="E66" t="s">
        <v>646</v>
      </c>
      <c r="F66">
        <v>5</v>
      </c>
      <c r="G66">
        <v>235471.25</v>
      </c>
      <c r="H66" t="s">
        <v>525</v>
      </c>
      <c r="I66">
        <v>2026</v>
      </c>
      <c r="J66" t="str">
        <f>_xlfn.XLOOKUP(sales[[#This Row],[Product_ID]],products[Product_ID],products[Product_Name])</f>
        <v>Router 26</v>
      </c>
      <c r="K66" t="str">
        <f>_xlfn.XLOOKUP(sales[[#This Row],[Store_ID]],stores[Store_ID],stores[Store_Name])</f>
        <v>Guntur Store</v>
      </c>
      <c r="L66" t="str">
        <f>_xlfn.XLOOKUP(sales[[#This Row],[Customer_ID]],customers[Customer_ID],customers[Customer_Name])</f>
        <v>Rahul_4</v>
      </c>
      <c r="M66" t="str">
        <f>IF(sales[[#This Row],[Total_Amount]]&gt;=50000,"High Sales","Low Sales")</f>
        <v>High Sales</v>
      </c>
      <c r="N66">
        <f>sales[[#This Row],[Total_Amount]]/sales[[#This Row],[Quantity]]</f>
        <v>47094.25</v>
      </c>
    </row>
    <row r="67" spans="1:14" x14ac:dyDescent="0.3">
      <c r="A67" t="s">
        <v>647</v>
      </c>
      <c r="B67">
        <v>1131</v>
      </c>
      <c r="C67" t="s">
        <v>112</v>
      </c>
      <c r="D67" t="s">
        <v>42</v>
      </c>
      <c r="E67" t="s">
        <v>648</v>
      </c>
      <c r="F67">
        <v>4</v>
      </c>
      <c r="G67">
        <v>285261.32</v>
      </c>
      <c r="H67" t="s">
        <v>545</v>
      </c>
      <c r="I67">
        <v>2026</v>
      </c>
      <c r="J67" t="str">
        <f>_xlfn.XLOOKUP(sales[[#This Row],[Product_ID]],products[Product_ID],products[Product_Name])</f>
        <v>Monitor 21</v>
      </c>
      <c r="K67" t="str">
        <f>_xlfn.XLOOKUP(sales[[#This Row],[Store_ID]],stores[Store_ID],stores[Store_Name])</f>
        <v>Hyderabad Store</v>
      </c>
      <c r="L67" t="str">
        <f>_xlfn.XLOOKUP(sales[[#This Row],[Customer_ID]],customers[Customer_ID],customers[Customer_Name])</f>
        <v>Vikram_131</v>
      </c>
      <c r="M67" t="str">
        <f>IF(sales[[#This Row],[Total_Amount]]&gt;=50000,"High Sales","Low Sales")</f>
        <v>High Sales</v>
      </c>
      <c r="N67">
        <f>sales[[#This Row],[Total_Amount]]/sales[[#This Row],[Quantity]]</f>
        <v>71315.33</v>
      </c>
    </row>
    <row r="68" spans="1:14" x14ac:dyDescent="0.3">
      <c r="A68" t="s">
        <v>649</v>
      </c>
      <c r="B68">
        <v>1167</v>
      </c>
      <c r="C68" t="s">
        <v>75</v>
      </c>
      <c r="D68" t="s">
        <v>59</v>
      </c>
      <c r="E68" t="s">
        <v>596</v>
      </c>
      <c r="F68">
        <v>1</v>
      </c>
      <c r="G68">
        <v>20161.169999999998</v>
      </c>
      <c r="H68" t="s">
        <v>558</v>
      </c>
      <c r="I68">
        <v>2026</v>
      </c>
      <c r="J68" t="str">
        <f>_xlfn.XLOOKUP(sales[[#This Row],[Product_ID]],products[Product_ID],products[Product_Name])</f>
        <v>Smart Watch 3</v>
      </c>
      <c r="K68" t="str">
        <f>_xlfn.XLOOKUP(sales[[#This Row],[Store_ID]],stores[Store_ID],stores[Store_Name])</f>
        <v>Chennai Store</v>
      </c>
      <c r="L68" t="str">
        <f>_xlfn.XLOOKUP(sales[[#This Row],[Customer_ID]],customers[Customer_ID],customers[Customer_Name])</f>
        <v>Nikhil_167</v>
      </c>
      <c r="M68" t="str">
        <f>IF(sales[[#This Row],[Total_Amount]]&gt;=50000,"High Sales","Low Sales")</f>
        <v>Low Sales</v>
      </c>
      <c r="N68">
        <f>sales[[#This Row],[Total_Amount]]/sales[[#This Row],[Quantity]]</f>
        <v>20161.169999999998</v>
      </c>
    </row>
    <row r="69" spans="1:14" x14ac:dyDescent="0.3">
      <c r="A69" t="s">
        <v>650</v>
      </c>
      <c r="B69">
        <v>1046</v>
      </c>
      <c r="C69" t="s">
        <v>104</v>
      </c>
      <c r="D69" t="s">
        <v>62</v>
      </c>
      <c r="E69" t="s">
        <v>651</v>
      </c>
      <c r="F69">
        <v>5</v>
      </c>
      <c r="G69">
        <v>372627.95</v>
      </c>
      <c r="H69" t="s">
        <v>525</v>
      </c>
      <c r="I69">
        <v>2025</v>
      </c>
      <c r="J69" t="str">
        <f>_xlfn.XLOOKUP(sales[[#This Row],[Product_ID]],products[Product_ID],products[Product_Name])</f>
        <v>Mixer 17</v>
      </c>
      <c r="K69" t="str">
        <f>_xlfn.XLOOKUP(sales[[#This Row],[Store_ID]],stores[Store_ID],stores[Store_Name])</f>
        <v>Pune Store</v>
      </c>
      <c r="L69" t="str">
        <f>_xlfn.XLOOKUP(sales[[#This Row],[Customer_ID]],customers[Customer_ID],customers[Customer_Name])</f>
        <v>Divya_46</v>
      </c>
      <c r="M69" t="str">
        <f>IF(sales[[#This Row],[Total_Amount]]&gt;=50000,"High Sales","Low Sales")</f>
        <v>High Sales</v>
      </c>
      <c r="N69">
        <f>sales[[#This Row],[Total_Amount]]/sales[[#This Row],[Quantity]]</f>
        <v>74525.59</v>
      </c>
    </row>
    <row r="70" spans="1:14" x14ac:dyDescent="0.3">
      <c r="A70" t="s">
        <v>652</v>
      </c>
      <c r="B70">
        <v>1106</v>
      </c>
      <c r="C70" t="s">
        <v>112</v>
      </c>
      <c r="D70" t="s">
        <v>62</v>
      </c>
      <c r="E70" t="s">
        <v>412</v>
      </c>
      <c r="F70">
        <v>4</v>
      </c>
      <c r="G70">
        <v>468860.76</v>
      </c>
      <c r="H70" t="s">
        <v>525</v>
      </c>
      <c r="I70">
        <v>2025</v>
      </c>
      <c r="J70" t="str">
        <f>_xlfn.XLOOKUP(sales[[#This Row],[Product_ID]],products[Product_ID],products[Product_Name])</f>
        <v>Monitor 21</v>
      </c>
      <c r="K70" t="str">
        <f>_xlfn.XLOOKUP(sales[[#This Row],[Store_ID]],stores[Store_ID],stores[Store_Name])</f>
        <v>Pune Store</v>
      </c>
      <c r="L70" t="str">
        <f>_xlfn.XLOOKUP(sales[[#This Row],[Customer_ID]],customers[Customer_ID],customers[Customer_Name])</f>
        <v>Nikhil_106</v>
      </c>
      <c r="M70" t="str">
        <f>IF(sales[[#This Row],[Total_Amount]]&gt;=50000,"High Sales","Low Sales")</f>
        <v>High Sales</v>
      </c>
      <c r="N70">
        <f>sales[[#This Row],[Total_Amount]]/sales[[#This Row],[Quantity]]</f>
        <v>117215.19</v>
      </c>
    </row>
    <row r="71" spans="1:14" x14ac:dyDescent="0.3">
      <c r="A71" t="s">
        <v>653</v>
      </c>
      <c r="B71">
        <v>1077</v>
      </c>
      <c r="C71" t="s">
        <v>86</v>
      </c>
      <c r="D71" t="s">
        <v>62</v>
      </c>
      <c r="E71" t="s">
        <v>654</v>
      </c>
      <c r="F71">
        <v>3</v>
      </c>
      <c r="G71">
        <v>352951.68</v>
      </c>
      <c r="H71" t="s">
        <v>575</v>
      </c>
      <c r="I71">
        <v>2025</v>
      </c>
      <c r="J71" t="str">
        <f>_xlfn.XLOOKUP(sales[[#This Row],[Product_ID]],products[Product_ID],products[Product_Name])</f>
        <v>Laptop 8</v>
      </c>
      <c r="K71" t="str">
        <f>_xlfn.XLOOKUP(sales[[#This Row],[Store_ID]],stores[Store_ID],stores[Store_Name])</f>
        <v>Pune Store</v>
      </c>
      <c r="L71" t="str">
        <f>_xlfn.XLOOKUP(sales[[#This Row],[Customer_ID]],customers[Customer_ID],customers[Customer_Name])</f>
        <v>Sneha_77</v>
      </c>
      <c r="M71" t="str">
        <f>IF(sales[[#This Row],[Total_Amount]]&gt;=50000,"High Sales","Low Sales")</f>
        <v>High Sales</v>
      </c>
      <c r="N71">
        <f>sales[[#This Row],[Total_Amount]]/sales[[#This Row],[Quantity]]</f>
        <v>117650.56</v>
      </c>
    </row>
    <row r="72" spans="1:14" x14ac:dyDescent="0.3">
      <c r="A72" t="s">
        <v>655</v>
      </c>
      <c r="B72">
        <v>1010</v>
      </c>
      <c r="C72" t="s">
        <v>114</v>
      </c>
      <c r="D72" t="s">
        <v>59</v>
      </c>
      <c r="E72" t="s">
        <v>656</v>
      </c>
      <c r="F72">
        <v>3</v>
      </c>
      <c r="G72">
        <v>49874.67</v>
      </c>
      <c r="H72" t="s">
        <v>525</v>
      </c>
      <c r="I72">
        <v>2025</v>
      </c>
      <c r="J72" t="str">
        <f>_xlfn.XLOOKUP(sales[[#This Row],[Product_ID]],products[Product_ID],products[Product_Name])</f>
        <v>Mixer 22</v>
      </c>
      <c r="K72" t="str">
        <f>_xlfn.XLOOKUP(sales[[#This Row],[Store_ID]],stores[Store_ID],stores[Store_Name])</f>
        <v>Chennai Store</v>
      </c>
      <c r="L72" t="str">
        <f>_xlfn.XLOOKUP(sales[[#This Row],[Customer_ID]],customers[Customer_ID],customers[Customer_Name])</f>
        <v>Priya_10</v>
      </c>
      <c r="M72" t="str">
        <f>IF(sales[[#This Row],[Total_Amount]]&gt;=50000,"High Sales","Low Sales")</f>
        <v>Low Sales</v>
      </c>
      <c r="N72">
        <f>sales[[#This Row],[Total_Amount]]/sales[[#This Row],[Quantity]]</f>
        <v>16624.89</v>
      </c>
    </row>
    <row r="73" spans="1:14" x14ac:dyDescent="0.3">
      <c r="A73" t="s">
        <v>657</v>
      </c>
      <c r="B73">
        <v>1198</v>
      </c>
      <c r="C73" t="s">
        <v>75</v>
      </c>
      <c r="D73" t="s">
        <v>46</v>
      </c>
      <c r="E73" t="s">
        <v>658</v>
      </c>
      <c r="F73">
        <v>2</v>
      </c>
      <c r="G73">
        <v>6697.72</v>
      </c>
      <c r="H73" t="s">
        <v>537</v>
      </c>
      <c r="I73">
        <v>2026</v>
      </c>
      <c r="J73" t="str">
        <f>_xlfn.XLOOKUP(sales[[#This Row],[Product_ID]],products[Product_ID],products[Product_Name])</f>
        <v>Smart Watch 3</v>
      </c>
      <c r="K73" t="str">
        <f>_xlfn.XLOOKUP(sales[[#This Row],[Store_ID]],stores[Store_ID],stores[Store_Name])</f>
        <v>Vijayawada Store</v>
      </c>
      <c r="L73" t="str">
        <f>_xlfn.XLOOKUP(sales[[#This Row],[Customer_ID]],customers[Customer_ID],customers[Customer_Name])</f>
        <v>Anjali_198</v>
      </c>
      <c r="M73" t="str">
        <f>IF(sales[[#This Row],[Total_Amount]]&gt;=50000,"High Sales","Low Sales")</f>
        <v>Low Sales</v>
      </c>
      <c r="N73">
        <f>sales[[#This Row],[Total_Amount]]/sales[[#This Row],[Quantity]]</f>
        <v>3348.86</v>
      </c>
    </row>
    <row r="74" spans="1:14" x14ac:dyDescent="0.3">
      <c r="A74" t="s">
        <v>659</v>
      </c>
      <c r="B74">
        <v>1137</v>
      </c>
      <c r="C74" t="s">
        <v>122</v>
      </c>
      <c r="D74" t="s">
        <v>59</v>
      </c>
      <c r="E74" t="s">
        <v>660</v>
      </c>
      <c r="F74">
        <v>2</v>
      </c>
      <c r="G74">
        <v>27624.82</v>
      </c>
      <c r="H74" t="s">
        <v>540</v>
      </c>
      <c r="I74">
        <v>2025</v>
      </c>
      <c r="J74" t="str">
        <f>_xlfn.XLOOKUP(sales[[#This Row],[Product_ID]],products[Product_ID],products[Product_Name])</f>
        <v>Router 26</v>
      </c>
      <c r="K74" t="str">
        <f>_xlfn.XLOOKUP(sales[[#This Row],[Store_ID]],stores[Store_ID],stores[Store_Name])</f>
        <v>Chennai Store</v>
      </c>
      <c r="L74" t="str">
        <f>_xlfn.XLOOKUP(sales[[#This Row],[Customer_ID]],customers[Customer_ID],customers[Customer_Name])</f>
        <v>Nikhil_137</v>
      </c>
      <c r="M74" t="str">
        <f>IF(sales[[#This Row],[Total_Amount]]&gt;=50000,"High Sales","Low Sales")</f>
        <v>Low Sales</v>
      </c>
      <c r="N74">
        <f>sales[[#This Row],[Total_Amount]]/sales[[#This Row],[Quantity]]</f>
        <v>13812.41</v>
      </c>
    </row>
    <row r="75" spans="1:14" x14ac:dyDescent="0.3">
      <c r="A75" t="s">
        <v>661</v>
      </c>
      <c r="B75">
        <v>1065</v>
      </c>
      <c r="C75" t="s">
        <v>98</v>
      </c>
      <c r="D75" t="s">
        <v>53</v>
      </c>
      <c r="E75" t="s">
        <v>662</v>
      </c>
      <c r="F75">
        <v>1</v>
      </c>
      <c r="G75">
        <v>2733.13</v>
      </c>
      <c r="H75" t="s">
        <v>525</v>
      </c>
      <c r="I75">
        <v>2026</v>
      </c>
      <c r="J75" t="str">
        <f>_xlfn.XLOOKUP(sales[[#This Row],[Product_ID]],products[Product_ID],products[Product_Name])</f>
        <v>Camera 14</v>
      </c>
      <c r="K75" t="str">
        <f>_xlfn.XLOOKUP(sales[[#This Row],[Store_ID]],stores[Store_ID],stores[Store_Name])</f>
        <v>Warangal Store</v>
      </c>
      <c r="L75" t="str">
        <f>_xlfn.XLOOKUP(sales[[#This Row],[Customer_ID]],customers[Customer_ID],customers[Customer_Name])</f>
        <v>Vikram_65</v>
      </c>
      <c r="M75" t="str">
        <f>IF(sales[[#This Row],[Total_Amount]]&gt;=50000,"High Sales","Low Sales")</f>
        <v>Low Sales</v>
      </c>
      <c r="N75">
        <f>sales[[#This Row],[Total_Amount]]/sales[[#This Row],[Quantity]]</f>
        <v>2733.13</v>
      </c>
    </row>
    <row r="76" spans="1:14" x14ac:dyDescent="0.3">
      <c r="A76" t="s">
        <v>663</v>
      </c>
      <c r="B76">
        <v>1117</v>
      </c>
      <c r="C76" t="s">
        <v>120</v>
      </c>
      <c r="D76" t="s">
        <v>62</v>
      </c>
      <c r="E76" t="s">
        <v>664</v>
      </c>
      <c r="F76">
        <v>5</v>
      </c>
      <c r="G76">
        <v>301724.25</v>
      </c>
      <c r="H76" t="s">
        <v>545</v>
      </c>
      <c r="I76">
        <v>2026</v>
      </c>
      <c r="J76" t="str">
        <f>_xlfn.XLOOKUP(sales[[#This Row],[Product_ID]],products[Product_ID],products[Product_Name])</f>
        <v>Printer 25</v>
      </c>
      <c r="K76" t="str">
        <f>_xlfn.XLOOKUP(sales[[#This Row],[Store_ID]],stores[Store_ID],stores[Store_Name])</f>
        <v>Pune Store</v>
      </c>
      <c r="L76" t="str">
        <f>_xlfn.XLOOKUP(sales[[#This Row],[Customer_ID]],customers[Customer_ID],customers[Customer_Name])</f>
        <v>Sneha_117</v>
      </c>
      <c r="M76" t="str">
        <f>IF(sales[[#This Row],[Total_Amount]]&gt;=50000,"High Sales","Low Sales")</f>
        <v>High Sales</v>
      </c>
      <c r="N76">
        <f>sales[[#This Row],[Total_Amount]]/sales[[#This Row],[Quantity]]</f>
        <v>60344.85</v>
      </c>
    </row>
    <row r="77" spans="1:14" x14ac:dyDescent="0.3">
      <c r="A77" t="s">
        <v>665</v>
      </c>
      <c r="B77">
        <v>1129</v>
      </c>
      <c r="C77" t="s">
        <v>77</v>
      </c>
      <c r="D77" t="s">
        <v>46</v>
      </c>
      <c r="E77" t="s">
        <v>666</v>
      </c>
      <c r="F77">
        <v>2</v>
      </c>
      <c r="G77">
        <v>31470.46</v>
      </c>
      <c r="H77" t="s">
        <v>531</v>
      </c>
      <c r="I77">
        <v>2026</v>
      </c>
      <c r="J77" t="str">
        <f>_xlfn.XLOOKUP(sales[[#This Row],[Product_ID]],products[Product_ID],products[Product_Name])</f>
        <v>Monitor 4</v>
      </c>
      <c r="K77" t="str">
        <f>_xlfn.XLOOKUP(sales[[#This Row],[Store_ID]],stores[Store_ID],stores[Store_Name])</f>
        <v>Vijayawada Store</v>
      </c>
      <c r="L77" t="str">
        <f>_xlfn.XLOOKUP(sales[[#This Row],[Customer_ID]],customers[Customer_ID],customers[Customer_Name])</f>
        <v>Sita_129</v>
      </c>
      <c r="M77" t="str">
        <f>IF(sales[[#This Row],[Total_Amount]]&gt;=50000,"High Sales","Low Sales")</f>
        <v>Low Sales</v>
      </c>
      <c r="N77">
        <f>sales[[#This Row],[Total_Amount]]/sales[[#This Row],[Quantity]]</f>
        <v>15735.23</v>
      </c>
    </row>
    <row r="78" spans="1:14" x14ac:dyDescent="0.3">
      <c r="A78" t="s">
        <v>667</v>
      </c>
      <c r="B78">
        <v>1154</v>
      </c>
      <c r="C78" t="s">
        <v>90</v>
      </c>
      <c r="D78" t="s">
        <v>59</v>
      </c>
      <c r="E78" t="s">
        <v>668</v>
      </c>
      <c r="F78">
        <v>1</v>
      </c>
      <c r="G78">
        <v>69473.61</v>
      </c>
      <c r="H78" t="s">
        <v>537</v>
      </c>
      <c r="I78">
        <v>2025</v>
      </c>
      <c r="J78" t="str">
        <f>_xlfn.XLOOKUP(sales[[#This Row],[Product_ID]],products[Product_ID],products[Product_Name])</f>
        <v>Camera 10</v>
      </c>
      <c r="K78" t="str">
        <f>_xlfn.XLOOKUP(sales[[#This Row],[Store_ID]],stores[Store_ID],stores[Store_Name])</f>
        <v>Chennai Store</v>
      </c>
      <c r="L78" t="str">
        <f>_xlfn.XLOOKUP(sales[[#This Row],[Customer_ID]],customers[Customer_ID],customers[Customer_Name])</f>
        <v>Priya_154</v>
      </c>
      <c r="M78" t="str">
        <f>IF(sales[[#This Row],[Total_Amount]]&gt;=50000,"High Sales","Low Sales")</f>
        <v>High Sales</v>
      </c>
      <c r="N78">
        <f>sales[[#This Row],[Total_Amount]]/sales[[#This Row],[Quantity]]</f>
        <v>69473.61</v>
      </c>
    </row>
    <row r="79" spans="1:14" x14ac:dyDescent="0.3">
      <c r="A79" t="s">
        <v>669</v>
      </c>
      <c r="B79">
        <v>1084</v>
      </c>
      <c r="C79" t="s">
        <v>75</v>
      </c>
      <c r="D79" t="s">
        <v>59</v>
      </c>
      <c r="E79" t="s">
        <v>670</v>
      </c>
      <c r="F79">
        <v>4</v>
      </c>
      <c r="G79">
        <v>8571.92</v>
      </c>
      <c r="H79" t="s">
        <v>540</v>
      </c>
      <c r="I79">
        <v>2025</v>
      </c>
      <c r="J79" t="str">
        <f>_xlfn.XLOOKUP(sales[[#This Row],[Product_ID]],products[Product_ID],products[Product_Name])</f>
        <v>Smart Watch 3</v>
      </c>
      <c r="K79" t="str">
        <f>_xlfn.XLOOKUP(sales[[#This Row],[Store_ID]],stores[Store_ID],stores[Store_Name])</f>
        <v>Chennai Store</v>
      </c>
      <c r="L79" t="str">
        <f>_xlfn.XLOOKUP(sales[[#This Row],[Customer_ID]],customers[Customer_ID],customers[Customer_Name])</f>
        <v>Vikram_84</v>
      </c>
      <c r="M79" t="str">
        <f>IF(sales[[#This Row],[Total_Amount]]&gt;=50000,"High Sales","Low Sales")</f>
        <v>Low Sales</v>
      </c>
      <c r="N79">
        <f>sales[[#This Row],[Total_Amount]]/sales[[#This Row],[Quantity]]</f>
        <v>2142.98</v>
      </c>
    </row>
    <row r="80" spans="1:14" x14ac:dyDescent="0.3">
      <c r="A80" t="s">
        <v>671</v>
      </c>
      <c r="B80">
        <v>1165</v>
      </c>
      <c r="C80" t="s">
        <v>114</v>
      </c>
      <c r="D80" t="s">
        <v>57</v>
      </c>
      <c r="E80" t="s">
        <v>672</v>
      </c>
      <c r="F80">
        <v>3</v>
      </c>
      <c r="G80">
        <v>49893.66</v>
      </c>
      <c r="H80" t="s">
        <v>558</v>
      </c>
      <c r="I80">
        <v>2026</v>
      </c>
      <c r="J80" t="str">
        <f>_xlfn.XLOOKUP(sales[[#This Row],[Product_ID]],products[Product_ID],products[Product_Name])</f>
        <v>Mixer 22</v>
      </c>
      <c r="K80" t="str">
        <f>_xlfn.XLOOKUP(sales[[#This Row],[Store_ID]],stores[Store_ID],stores[Store_Name])</f>
        <v>Bengaluru Store</v>
      </c>
      <c r="L80" t="str">
        <f>_xlfn.XLOOKUP(sales[[#This Row],[Customer_ID]],customers[Customer_ID],customers[Customer_Name])</f>
        <v>Akhil_165</v>
      </c>
      <c r="M80" t="str">
        <f>IF(sales[[#This Row],[Total_Amount]]&gt;=50000,"High Sales","Low Sales")</f>
        <v>Low Sales</v>
      </c>
      <c r="N80">
        <f>sales[[#This Row],[Total_Amount]]/sales[[#This Row],[Quantity]]</f>
        <v>16631.22</v>
      </c>
    </row>
    <row r="81" spans="1:14" x14ac:dyDescent="0.3">
      <c r="A81" t="s">
        <v>673</v>
      </c>
      <c r="B81">
        <v>1153</v>
      </c>
      <c r="C81" t="s">
        <v>114</v>
      </c>
      <c r="D81" t="s">
        <v>62</v>
      </c>
      <c r="E81" t="s">
        <v>674</v>
      </c>
      <c r="F81">
        <v>1</v>
      </c>
      <c r="G81">
        <v>57825.85</v>
      </c>
      <c r="H81" t="s">
        <v>534</v>
      </c>
      <c r="I81">
        <v>2025</v>
      </c>
      <c r="J81" t="str">
        <f>_xlfn.XLOOKUP(sales[[#This Row],[Product_ID]],products[Product_ID],products[Product_Name])</f>
        <v>Mixer 22</v>
      </c>
      <c r="K81" t="str">
        <f>_xlfn.XLOOKUP(sales[[#This Row],[Store_ID]],stores[Store_ID],stores[Store_Name])</f>
        <v>Pune Store</v>
      </c>
      <c r="L81" t="str">
        <f>_xlfn.XLOOKUP(sales[[#This Row],[Customer_ID]],customers[Customer_ID],customers[Customer_Name])</f>
        <v>Ramesh_153</v>
      </c>
      <c r="M81" t="str">
        <f>IF(sales[[#This Row],[Total_Amount]]&gt;=50000,"High Sales","Low Sales")</f>
        <v>High Sales</v>
      </c>
      <c r="N81">
        <f>sales[[#This Row],[Total_Amount]]/sales[[#This Row],[Quantity]]</f>
        <v>57825.85</v>
      </c>
    </row>
    <row r="82" spans="1:14" x14ac:dyDescent="0.3">
      <c r="A82" t="s">
        <v>675</v>
      </c>
      <c r="B82">
        <v>1174</v>
      </c>
      <c r="C82" t="s">
        <v>90</v>
      </c>
      <c r="D82" t="s">
        <v>46</v>
      </c>
      <c r="E82" t="s">
        <v>676</v>
      </c>
      <c r="F82">
        <v>2</v>
      </c>
      <c r="G82">
        <v>167337.18</v>
      </c>
      <c r="H82" t="s">
        <v>534</v>
      </c>
      <c r="I82">
        <v>2025</v>
      </c>
      <c r="J82" t="str">
        <f>_xlfn.XLOOKUP(sales[[#This Row],[Product_ID]],products[Product_ID],products[Product_Name])</f>
        <v>Camera 10</v>
      </c>
      <c r="K82" t="str">
        <f>_xlfn.XLOOKUP(sales[[#This Row],[Store_ID]],stores[Store_ID],stores[Store_Name])</f>
        <v>Vijayawada Store</v>
      </c>
      <c r="L82" t="str">
        <f>_xlfn.XLOOKUP(sales[[#This Row],[Customer_ID]],customers[Customer_ID],customers[Customer_Name])</f>
        <v>Keerthi_174</v>
      </c>
      <c r="M82" t="str">
        <f>IF(sales[[#This Row],[Total_Amount]]&gt;=50000,"High Sales","Low Sales")</f>
        <v>High Sales</v>
      </c>
      <c r="N82">
        <f>sales[[#This Row],[Total_Amount]]/sales[[#This Row],[Quantity]]</f>
        <v>83668.59</v>
      </c>
    </row>
    <row r="83" spans="1:14" x14ac:dyDescent="0.3">
      <c r="A83" t="s">
        <v>677</v>
      </c>
      <c r="B83">
        <v>1196</v>
      </c>
      <c r="C83" t="s">
        <v>130</v>
      </c>
      <c r="D83" t="s">
        <v>57</v>
      </c>
      <c r="E83" t="s">
        <v>485</v>
      </c>
      <c r="F83">
        <v>3</v>
      </c>
      <c r="G83">
        <v>44766.239999999998</v>
      </c>
      <c r="H83" t="s">
        <v>525</v>
      </c>
      <c r="I83">
        <v>2025</v>
      </c>
      <c r="J83" t="str">
        <f>_xlfn.XLOOKUP(sales[[#This Row],[Product_ID]],products[Product_ID],products[Product_Name])</f>
        <v>Monitor 30</v>
      </c>
      <c r="K83" t="str">
        <f>_xlfn.XLOOKUP(sales[[#This Row],[Store_ID]],stores[Store_ID],stores[Store_Name])</f>
        <v>Bengaluru Store</v>
      </c>
      <c r="L83" t="str">
        <f>_xlfn.XLOOKUP(sales[[#This Row],[Customer_ID]],customers[Customer_ID],customers[Customer_Name])</f>
        <v>Pooja_196</v>
      </c>
      <c r="M83" t="str">
        <f>IF(sales[[#This Row],[Total_Amount]]&gt;=50000,"High Sales","Low Sales")</f>
        <v>Low Sales</v>
      </c>
      <c r="N83">
        <f>sales[[#This Row],[Total_Amount]]/sales[[#This Row],[Quantity]]</f>
        <v>14922.08</v>
      </c>
    </row>
    <row r="84" spans="1:14" x14ac:dyDescent="0.3">
      <c r="A84" t="s">
        <v>678</v>
      </c>
      <c r="B84">
        <v>1120</v>
      </c>
      <c r="C84" t="s">
        <v>128</v>
      </c>
      <c r="D84" t="s">
        <v>50</v>
      </c>
      <c r="E84" t="s">
        <v>466</v>
      </c>
      <c r="F84">
        <v>4</v>
      </c>
      <c r="G84">
        <v>334257.24</v>
      </c>
      <c r="H84" t="s">
        <v>531</v>
      </c>
      <c r="I84">
        <v>2025</v>
      </c>
      <c r="J84" t="str">
        <f>_xlfn.XLOOKUP(sales[[#This Row],[Product_ID]],products[Product_ID],products[Product_Name])</f>
        <v>Printer 29</v>
      </c>
      <c r="K84" t="str">
        <f>_xlfn.XLOOKUP(sales[[#This Row],[Store_ID]],stores[Store_ID],stores[Store_Name])</f>
        <v>Guntur Store</v>
      </c>
      <c r="L84" t="str">
        <f>_xlfn.XLOOKUP(sales[[#This Row],[Customer_ID]],customers[Customer_ID],customers[Customer_Name])</f>
        <v>Pooja_120</v>
      </c>
      <c r="M84" t="str">
        <f>IF(sales[[#This Row],[Total_Amount]]&gt;=50000,"High Sales","Low Sales")</f>
        <v>High Sales</v>
      </c>
      <c r="N84">
        <f>sales[[#This Row],[Total_Amount]]/sales[[#This Row],[Quantity]]</f>
        <v>83564.31</v>
      </c>
    </row>
    <row r="85" spans="1:14" x14ac:dyDescent="0.3">
      <c r="A85" t="s">
        <v>679</v>
      </c>
      <c r="B85">
        <v>1032</v>
      </c>
      <c r="C85" t="s">
        <v>120</v>
      </c>
      <c r="D85" t="s">
        <v>50</v>
      </c>
      <c r="E85" t="s">
        <v>680</v>
      </c>
      <c r="F85">
        <v>3</v>
      </c>
      <c r="G85">
        <v>253097.43</v>
      </c>
      <c r="H85" t="s">
        <v>558</v>
      </c>
      <c r="I85">
        <v>2025</v>
      </c>
      <c r="J85" t="str">
        <f>_xlfn.XLOOKUP(sales[[#This Row],[Product_ID]],products[Product_ID],products[Product_Name])</f>
        <v>Printer 25</v>
      </c>
      <c r="K85" t="str">
        <f>_xlfn.XLOOKUP(sales[[#This Row],[Store_ID]],stores[Store_ID],stores[Store_Name])</f>
        <v>Guntur Store</v>
      </c>
      <c r="L85" t="str">
        <f>_xlfn.XLOOKUP(sales[[#This Row],[Customer_ID]],customers[Customer_ID],customers[Customer_Name])</f>
        <v>Sneha_32</v>
      </c>
      <c r="M85" t="str">
        <f>IF(sales[[#This Row],[Total_Amount]]&gt;=50000,"High Sales","Low Sales")</f>
        <v>High Sales</v>
      </c>
      <c r="N85">
        <f>sales[[#This Row],[Total_Amount]]/sales[[#This Row],[Quantity]]</f>
        <v>84365.81</v>
      </c>
    </row>
    <row r="86" spans="1:14" x14ac:dyDescent="0.3">
      <c r="A86" t="s">
        <v>681</v>
      </c>
      <c r="B86">
        <v>1017</v>
      </c>
      <c r="C86" t="s">
        <v>112</v>
      </c>
      <c r="D86" t="s">
        <v>53</v>
      </c>
      <c r="E86" t="s">
        <v>615</v>
      </c>
      <c r="F86">
        <v>3</v>
      </c>
      <c r="G86">
        <v>292484.34000000003</v>
      </c>
      <c r="H86" t="s">
        <v>534</v>
      </c>
      <c r="I86">
        <v>2025</v>
      </c>
      <c r="J86" t="str">
        <f>_xlfn.XLOOKUP(sales[[#This Row],[Product_ID]],products[Product_ID],products[Product_Name])</f>
        <v>Monitor 21</v>
      </c>
      <c r="K86" t="str">
        <f>_xlfn.XLOOKUP(sales[[#This Row],[Store_ID]],stores[Store_ID],stores[Store_Name])</f>
        <v>Warangal Store</v>
      </c>
      <c r="L86" t="str">
        <f>_xlfn.XLOOKUP(sales[[#This Row],[Customer_ID]],customers[Customer_ID],customers[Customer_Name])</f>
        <v>Kiran_17</v>
      </c>
      <c r="M86" t="str">
        <f>IF(sales[[#This Row],[Total_Amount]]&gt;=50000,"High Sales","Low Sales")</f>
        <v>High Sales</v>
      </c>
      <c r="N86">
        <f>sales[[#This Row],[Total_Amount]]/sales[[#This Row],[Quantity]]</f>
        <v>97494.780000000013</v>
      </c>
    </row>
    <row r="87" spans="1:14" x14ac:dyDescent="0.3">
      <c r="A87" t="s">
        <v>682</v>
      </c>
      <c r="B87">
        <v>1032</v>
      </c>
      <c r="C87" t="s">
        <v>104</v>
      </c>
      <c r="D87" t="s">
        <v>53</v>
      </c>
      <c r="E87" t="s">
        <v>593</v>
      </c>
      <c r="F87">
        <v>5</v>
      </c>
      <c r="G87">
        <v>588542.30000000005</v>
      </c>
      <c r="H87" t="s">
        <v>537</v>
      </c>
      <c r="I87">
        <v>2026</v>
      </c>
      <c r="J87" t="str">
        <f>_xlfn.XLOOKUP(sales[[#This Row],[Product_ID]],products[Product_ID],products[Product_Name])</f>
        <v>Mixer 17</v>
      </c>
      <c r="K87" t="str">
        <f>_xlfn.XLOOKUP(sales[[#This Row],[Store_ID]],stores[Store_ID],stores[Store_Name])</f>
        <v>Warangal Store</v>
      </c>
      <c r="L87" t="str">
        <f>_xlfn.XLOOKUP(sales[[#This Row],[Customer_ID]],customers[Customer_ID],customers[Customer_Name])</f>
        <v>Sneha_32</v>
      </c>
      <c r="M87" t="str">
        <f>IF(sales[[#This Row],[Total_Amount]]&gt;=50000,"High Sales","Low Sales")</f>
        <v>High Sales</v>
      </c>
      <c r="N87">
        <f>sales[[#This Row],[Total_Amount]]/sales[[#This Row],[Quantity]]</f>
        <v>117708.46</v>
      </c>
    </row>
    <row r="88" spans="1:14" x14ac:dyDescent="0.3">
      <c r="A88" t="s">
        <v>683</v>
      </c>
      <c r="B88">
        <v>1129</v>
      </c>
      <c r="C88" t="s">
        <v>96</v>
      </c>
      <c r="D88" t="s">
        <v>57</v>
      </c>
      <c r="E88" t="s">
        <v>684</v>
      </c>
      <c r="F88">
        <v>4</v>
      </c>
      <c r="G88">
        <v>87660.2</v>
      </c>
      <c r="H88" t="s">
        <v>558</v>
      </c>
      <c r="I88">
        <v>2026</v>
      </c>
      <c r="J88" t="str">
        <f>_xlfn.XLOOKUP(sales[[#This Row],[Product_ID]],products[Product_ID],products[Product_Name])</f>
        <v>Printer 13</v>
      </c>
      <c r="K88" t="str">
        <f>_xlfn.XLOOKUP(sales[[#This Row],[Store_ID]],stores[Store_ID],stores[Store_Name])</f>
        <v>Bengaluru Store</v>
      </c>
      <c r="L88" t="str">
        <f>_xlfn.XLOOKUP(sales[[#This Row],[Customer_ID]],customers[Customer_ID],customers[Customer_Name])</f>
        <v>Sita_129</v>
      </c>
      <c r="M88" t="str">
        <f>IF(sales[[#This Row],[Total_Amount]]&gt;=50000,"High Sales","Low Sales")</f>
        <v>High Sales</v>
      </c>
      <c r="N88">
        <f>sales[[#This Row],[Total_Amount]]/sales[[#This Row],[Quantity]]</f>
        <v>21915.05</v>
      </c>
    </row>
    <row r="89" spans="1:14" x14ac:dyDescent="0.3">
      <c r="A89" t="s">
        <v>685</v>
      </c>
      <c r="B89">
        <v>1076</v>
      </c>
      <c r="C89" t="s">
        <v>90</v>
      </c>
      <c r="D89" t="s">
        <v>48</v>
      </c>
      <c r="E89" t="s">
        <v>605</v>
      </c>
      <c r="F89">
        <v>3</v>
      </c>
      <c r="G89">
        <v>336986.58</v>
      </c>
      <c r="H89" t="s">
        <v>575</v>
      </c>
      <c r="I89">
        <v>2026</v>
      </c>
      <c r="J89" t="str">
        <f>_xlfn.XLOOKUP(sales[[#This Row],[Product_ID]],products[Product_ID],products[Product_Name])</f>
        <v>Camera 10</v>
      </c>
      <c r="K89" t="str">
        <f>_xlfn.XLOOKUP(sales[[#This Row],[Store_ID]],stores[Store_ID],stores[Store_Name])</f>
        <v>Visakhapatnam Store</v>
      </c>
      <c r="L89" t="str">
        <f>_xlfn.XLOOKUP(sales[[#This Row],[Customer_ID]],customers[Customer_ID],customers[Customer_Name])</f>
        <v>Pooja_76</v>
      </c>
      <c r="M89" t="str">
        <f>IF(sales[[#This Row],[Total_Amount]]&gt;=50000,"High Sales","Low Sales")</f>
        <v>High Sales</v>
      </c>
      <c r="N89">
        <f>sales[[#This Row],[Total_Amount]]/sales[[#This Row],[Quantity]]</f>
        <v>112328.86</v>
      </c>
    </row>
    <row r="90" spans="1:14" x14ac:dyDescent="0.3">
      <c r="A90" t="s">
        <v>686</v>
      </c>
      <c r="B90">
        <v>1141</v>
      </c>
      <c r="C90" t="s">
        <v>108</v>
      </c>
      <c r="D90" t="s">
        <v>59</v>
      </c>
      <c r="E90" t="s">
        <v>687</v>
      </c>
      <c r="F90">
        <v>2</v>
      </c>
      <c r="G90">
        <v>87351.78</v>
      </c>
      <c r="H90" t="s">
        <v>540</v>
      </c>
      <c r="I90">
        <v>2025</v>
      </c>
      <c r="J90" t="str">
        <f>_xlfn.XLOOKUP(sales[[#This Row],[Product_ID]],products[Product_ID],products[Product_Name])</f>
        <v>Mouse 19</v>
      </c>
      <c r="K90" t="str">
        <f>_xlfn.XLOOKUP(sales[[#This Row],[Store_ID]],stores[Store_ID],stores[Store_Name])</f>
        <v>Chennai Store</v>
      </c>
      <c r="L90" t="str">
        <f>_xlfn.XLOOKUP(sales[[#This Row],[Customer_ID]],customers[Customer_ID],customers[Customer_Name])</f>
        <v>Arjun_141</v>
      </c>
      <c r="M90" t="str">
        <f>IF(sales[[#This Row],[Total_Amount]]&gt;=50000,"High Sales","Low Sales")</f>
        <v>High Sales</v>
      </c>
      <c r="N90">
        <f>sales[[#This Row],[Total_Amount]]/sales[[#This Row],[Quantity]]</f>
        <v>43675.89</v>
      </c>
    </row>
    <row r="91" spans="1:14" x14ac:dyDescent="0.3">
      <c r="A91" t="s">
        <v>688</v>
      </c>
      <c r="B91">
        <v>1195</v>
      </c>
      <c r="C91" t="s">
        <v>98</v>
      </c>
      <c r="D91" t="s">
        <v>42</v>
      </c>
      <c r="E91" t="s">
        <v>689</v>
      </c>
      <c r="F91">
        <v>3</v>
      </c>
      <c r="G91">
        <v>205226.85</v>
      </c>
      <c r="H91" t="s">
        <v>537</v>
      </c>
      <c r="I91">
        <v>2026</v>
      </c>
      <c r="J91" t="str">
        <f>_xlfn.XLOOKUP(sales[[#This Row],[Product_ID]],products[Product_ID],products[Product_Name])</f>
        <v>Camera 14</v>
      </c>
      <c r="K91" t="str">
        <f>_xlfn.XLOOKUP(sales[[#This Row],[Store_ID]],stores[Store_ID],stores[Store_Name])</f>
        <v>Hyderabad Store</v>
      </c>
      <c r="L91" t="str">
        <f>_xlfn.XLOOKUP(sales[[#This Row],[Customer_ID]],customers[Customer_ID],customers[Customer_Name])</f>
        <v>Ramesh_195</v>
      </c>
      <c r="M91" t="str">
        <f>IF(sales[[#This Row],[Total_Amount]]&gt;=50000,"High Sales","Low Sales")</f>
        <v>High Sales</v>
      </c>
      <c r="N91">
        <f>sales[[#This Row],[Total_Amount]]/sales[[#This Row],[Quantity]]</f>
        <v>68408.95</v>
      </c>
    </row>
    <row r="92" spans="1:14" x14ac:dyDescent="0.3">
      <c r="A92" t="s">
        <v>690</v>
      </c>
      <c r="B92">
        <v>1162</v>
      </c>
      <c r="C92" t="s">
        <v>86</v>
      </c>
      <c r="D92" t="s">
        <v>57</v>
      </c>
      <c r="E92" t="s">
        <v>154</v>
      </c>
      <c r="F92">
        <v>5</v>
      </c>
      <c r="G92">
        <v>181648.35</v>
      </c>
      <c r="H92" t="s">
        <v>545</v>
      </c>
      <c r="I92">
        <v>2025</v>
      </c>
      <c r="J92" t="str">
        <f>_xlfn.XLOOKUP(sales[[#This Row],[Product_ID]],products[Product_ID],products[Product_Name])</f>
        <v>Laptop 8</v>
      </c>
      <c r="K92" t="str">
        <f>_xlfn.XLOOKUP(sales[[#This Row],[Store_ID]],stores[Store_ID],stores[Store_Name])</f>
        <v>Bengaluru Store</v>
      </c>
      <c r="L92" t="str">
        <f>_xlfn.XLOOKUP(sales[[#This Row],[Customer_ID]],customers[Customer_ID],customers[Customer_Name])</f>
        <v>Vikram_162</v>
      </c>
      <c r="M92" t="str">
        <f>IF(sales[[#This Row],[Total_Amount]]&gt;=50000,"High Sales","Low Sales")</f>
        <v>High Sales</v>
      </c>
      <c r="N92">
        <f>sales[[#This Row],[Total_Amount]]/sales[[#This Row],[Quantity]]</f>
        <v>36329.67</v>
      </c>
    </row>
    <row r="93" spans="1:14" x14ac:dyDescent="0.3">
      <c r="A93" t="s">
        <v>691</v>
      </c>
      <c r="B93">
        <v>1031</v>
      </c>
      <c r="C93" t="s">
        <v>77</v>
      </c>
      <c r="D93" t="s">
        <v>57</v>
      </c>
      <c r="E93" t="s">
        <v>284</v>
      </c>
      <c r="F93">
        <v>5</v>
      </c>
      <c r="G93">
        <v>343358.1</v>
      </c>
      <c r="H93" t="s">
        <v>540</v>
      </c>
      <c r="I93">
        <v>2025</v>
      </c>
      <c r="J93" t="str">
        <f>_xlfn.XLOOKUP(sales[[#This Row],[Product_ID]],products[Product_ID],products[Product_Name])</f>
        <v>Monitor 4</v>
      </c>
      <c r="K93" t="str">
        <f>_xlfn.XLOOKUP(sales[[#This Row],[Store_ID]],stores[Store_ID],stores[Store_Name])</f>
        <v>Bengaluru Store</v>
      </c>
      <c r="L93" t="str">
        <f>_xlfn.XLOOKUP(sales[[#This Row],[Customer_ID]],customers[Customer_ID],customers[Customer_Name])</f>
        <v>Akhil_31</v>
      </c>
      <c r="M93" t="str">
        <f>IF(sales[[#This Row],[Total_Amount]]&gt;=50000,"High Sales","Low Sales")</f>
        <v>High Sales</v>
      </c>
      <c r="N93">
        <f>sales[[#This Row],[Total_Amount]]/sales[[#This Row],[Quantity]]</f>
        <v>68671.62</v>
      </c>
    </row>
    <row r="94" spans="1:14" x14ac:dyDescent="0.3">
      <c r="A94" t="s">
        <v>692</v>
      </c>
      <c r="B94">
        <v>1159</v>
      </c>
      <c r="C94" t="s">
        <v>130</v>
      </c>
      <c r="D94" t="s">
        <v>59</v>
      </c>
      <c r="E94" t="s">
        <v>693</v>
      </c>
      <c r="F94">
        <v>1</v>
      </c>
      <c r="G94">
        <v>66013.679999999993</v>
      </c>
      <c r="H94" t="s">
        <v>561</v>
      </c>
      <c r="I94">
        <v>2025</v>
      </c>
      <c r="J94" t="str">
        <f>_xlfn.XLOOKUP(sales[[#This Row],[Product_ID]],products[Product_ID],products[Product_Name])</f>
        <v>Monitor 30</v>
      </c>
      <c r="K94" t="str">
        <f>_xlfn.XLOOKUP(sales[[#This Row],[Store_ID]],stores[Store_ID],stores[Store_Name])</f>
        <v>Chennai Store</v>
      </c>
      <c r="L94" t="str">
        <f>_xlfn.XLOOKUP(sales[[#This Row],[Customer_ID]],customers[Customer_ID],customers[Customer_Name])</f>
        <v>Anjali_159</v>
      </c>
      <c r="M94" t="str">
        <f>IF(sales[[#This Row],[Total_Amount]]&gt;=50000,"High Sales","Low Sales")</f>
        <v>High Sales</v>
      </c>
      <c r="N94">
        <f>sales[[#This Row],[Total_Amount]]/sales[[#This Row],[Quantity]]</f>
        <v>66013.679999999993</v>
      </c>
    </row>
    <row r="95" spans="1:14" x14ac:dyDescent="0.3">
      <c r="A95" t="s">
        <v>694</v>
      </c>
      <c r="B95">
        <v>1179</v>
      </c>
      <c r="C95" t="s">
        <v>130</v>
      </c>
      <c r="D95" t="s">
        <v>50</v>
      </c>
      <c r="E95" t="s">
        <v>148</v>
      </c>
      <c r="F95">
        <v>3</v>
      </c>
      <c r="G95">
        <v>330569.90999999997</v>
      </c>
      <c r="H95" t="s">
        <v>531</v>
      </c>
      <c r="I95">
        <v>2025</v>
      </c>
      <c r="J95" t="str">
        <f>_xlfn.XLOOKUP(sales[[#This Row],[Product_ID]],products[Product_ID],products[Product_Name])</f>
        <v>Monitor 30</v>
      </c>
      <c r="K95" t="str">
        <f>_xlfn.XLOOKUP(sales[[#This Row],[Store_ID]],stores[Store_ID],stores[Store_Name])</f>
        <v>Guntur Store</v>
      </c>
      <c r="L95" t="str">
        <f>_xlfn.XLOOKUP(sales[[#This Row],[Customer_ID]],customers[Customer_ID],customers[Customer_Name])</f>
        <v>Akhil_179</v>
      </c>
      <c r="M95" t="str">
        <f>IF(sales[[#This Row],[Total_Amount]]&gt;=50000,"High Sales","Low Sales")</f>
        <v>High Sales</v>
      </c>
      <c r="N95">
        <f>sales[[#This Row],[Total_Amount]]/sales[[#This Row],[Quantity]]</f>
        <v>110189.96999999999</v>
      </c>
    </row>
    <row r="96" spans="1:14" x14ac:dyDescent="0.3">
      <c r="A96" t="s">
        <v>695</v>
      </c>
      <c r="B96">
        <v>1060</v>
      </c>
      <c r="C96" t="s">
        <v>98</v>
      </c>
      <c r="D96" t="s">
        <v>50</v>
      </c>
      <c r="E96" t="s">
        <v>696</v>
      </c>
      <c r="F96">
        <v>4</v>
      </c>
      <c r="G96">
        <v>224245.04</v>
      </c>
      <c r="H96" t="s">
        <v>528</v>
      </c>
      <c r="I96">
        <v>2025</v>
      </c>
      <c r="J96" t="str">
        <f>_xlfn.XLOOKUP(sales[[#This Row],[Product_ID]],products[Product_ID],products[Product_Name])</f>
        <v>Camera 14</v>
      </c>
      <c r="K96" t="str">
        <f>_xlfn.XLOOKUP(sales[[#This Row],[Store_ID]],stores[Store_ID],stores[Store_Name])</f>
        <v>Guntur Store</v>
      </c>
      <c r="L96" t="str">
        <f>_xlfn.XLOOKUP(sales[[#This Row],[Customer_ID]],customers[Customer_ID],customers[Customer_Name])</f>
        <v>Ravi_60</v>
      </c>
      <c r="M96" t="str">
        <f>IF(sales[[#This Row],[Total_Amount]]&gt;=50000,"High Sales","Low Sales")</f>
        <v>High Sales</v>
      </c>
      <c r="N96">
        <f>sales[[#This Row],[Total_Amount]]/sales[[#This Row],[Quantity]]</f>
        <v>56061.26</v>
      </c>
    </row>
    <row r="97" spans="1:14" x14ac:dyDescent="0.3">
      <c r="A97" t="s">
        <v>697</v>
      </c>
      <c r="B97">
        <v>1065</v>
      </c>
      <c r="C97" t="s">
        <v>88</v>
      </c>
      <c r="D97" t="s">
        <v>57</v>
      </c>
      <c r="E97" t="s">
        <v>154</v>
      </c>
      <c r="F97">
        <v>3</v>
      </c>
      <c r="G97">
        <v>116325</v>
      </c>
      <c r="H97" t="s">
        <v>545</v>
      </c>
      <c r="I97">
        <v>2025</v>
      </c>
      <c r="J97" t="str">
        <f>_xlfn.XLOOKUP(sales[[#This Row],[Product_ID]],products[Product_ID],products[Product_Name])</f>
        <v>Headphones 9</v>
      </c>
      <c r="K97" t="str">
        <f>_xlfn.XLOOKUP(sales[[#This Row],[Store_ID]],stores[Store_ID],stores[Store_Name])</f>
        <v>Bengaluru Store</v>
      </c>
      <c r="L97" t="str">
        <f>_xlfn.XLOOKUP(sales[[#This Row],[Customer_ID]],customers[Customer_ID],customers[Customer_Name])</f>
        <v>Vikram_65</v>
      </c>
      <c r="M97" t="str">
        <f>IF(sales[[#This Row],[Total_Amount]]&gt;=50000,"High Sales","Low Sales")</f>
        <v>High Sales</v>
      </c>
      <c r="N97">
        <f>sales[[#This Row],[Total_Amount]]/sales[[#This Row],[Quantity]]</f>
        <v>38775</v>
      </c>
    </row>
    <row r="98" spans="1:14" x14ac:dyDescent="0.3">
      <c r="A98" t="s">
        <v>698</v>
      </c>
      <c r="B98">
        <v>1034</v>
      </c>
      <c r="C98" t="s">
        <v>106</v>
      </c>
      <c r="D98" t="s">
        <v>59</v>
      </c>
      <c r="E98" t="s">
        <v>699</v>
      </c>
      <c r="F98">
        <v>3</v>
      </c>
      <c r="G98">
        <v>143062.92000000001</v>
      </c>
      <c r="H98" t="s">
        <v>525</v>
      </c>
      <c r="I98">
        <v>2026</v>
      </c>
      <c r="J98" t="str">
        <f>_xlfn.XLOOKUP(sales[[#This Row],[Product_ID]],products[Product_ID],products[Product_Name])</f>
        <v>Microwave 18</v>
      </c>
      <c r="K98" t="str">
        <f>_xlfn.XLOOKUP(sales[[#This Row],[Store_ID]],stores[Store_ID],stores[Store_Name])</f>
        <v>Chennai Store</v>
      </c>
      <c r="L98" t="str">
        <f>_xlfn.XLOOKUP(sales[[#This Row],[Customer_ID]],customers[Customer_ID],customers[Customer_Name])</f>
        <v>Anjali_34</v>
      </c>
      <c r="M98" t="str">
        <f>IF(sales[[#This Row],[Total_Amount]]&gt;=50000,"High Sales","Low Sales")</f>
        <v>High Sales</v>
      </c>
      <c r="N98">
        <f>sales[[#This Row],[Total_Amount]]/sales[[#This Row],[Quantity]]</f>
        <v>47687.640000000007</v>
      </c>
    </row>
    <row r="99" spans="1:14" x14ac:dyDescent="0.3">
      <c r="A99" t="s">
        <v>700</v>
      </c>
      <c r="B99">
        <v>1136</v>
      </c>
      <c r="C99" t="s">
        <v>90</v>
      </c>
      <c r="D99" t="s">
        <v>53</v>
      </c>
      <c r="E99" t="s">
        <v>600</v>
      </c>
      <c r="F99">
        <v>4</v>
      </c>
      <c r="G99">
        <v>439221.16</v>
      </c>
      <c r="H99" t="s">
        <v>537</v>
      </c>
      <c r="I99">
        <v>2026</v>
      </c>
      <c r="J99" t="str">
        <f>_xlfn.XLOOKUP(sales[[#This Row],[Product_ID]],products[Product_ID],products[Product_Name])</f>
        <v>Camera 10</v>
      </c>
      <c r="K99" t="str">
        <f>_xlfn.XLOOKUP(sales[[#This Row],[Store_ID]],stores[Store_ID],stores[Store_Name])</f>
        <v>Warangal Store</v>
      </c>
      <c r="L99" t="str">
        <f>_xlfn.XLOOKUP(sales[[#This Row],[Customer_ID]],customers[Customer_ID],customers[Customer_Name])</f>
        <v>Kiran_136</v>
      </c>
      <c r="M99" t="str">
        <f>IF(sales[[#This Row],[Total_Amount]]&gt;=50000,"High Sales","Low Sales")</f>
        <v>High Sales</v>
      </c>
      <c r="N99">
        <f>sales[[#This Row],[Total_Amount]]/sales[[#This Row],[Quantity]]</f>
        <v>109805.29</v>
      </c>
    </row>
    <row r="100" spans="1:14" x14ac:dyDescent="0.3">
      <c r="A100" t="s">
        <v>701</v>
      </c>
      <c r="B100">
        <v>1023</v>
      </c>
      <c r="C100" t="s">
        <v>114</v>
      </c>
      <c r="D100" t="s">
        <v>42</v>
      </c>
      <c r="E100" t="s">
        <v>162</v>
      </c>
      <c r="F100">
        <v>3</v>
      </c>
      <c r="G100">
        <v>111451.59</v>
      </c>
      <c r="H100" t="s">
        <v>531</v>
      </c>
      <c r="I100">
        <v>2025</v>
      </c>
      <c r="J100" t="str">
        <f>_xlfn.XLOOKUP(sales[[#This Row],[Product_ID]],products[Product_ID],products[Product_Name])</f>
        <v>Mixer 22</v>
      </c>
      <c r="K100" t="str">
        <f>_xlfn.XLOOKUP(sales[[#This Row],[Store_ID]],stores[Store_ID],stores[Store_Name])</f>
        <v>Hyderabad Store</v>
      </c>
      <c r="L100" t="str">
        <f>_xlfn.XLOOKUP(sales[[#This Row],[Customer_ID]],customers[Customer_ID],customers[Customer_Name])</f>
        <v>Arjun_23</v>
      </c>
      <c r="M100" t="str">
        <f>IF(sales[[#This Row],[Total_Amount]]&gt;=50000,"High Sales","Low Sales")</f>
        <v>High Sales</v>
      </c>
      <c r="N100">
        <f>sales[[#This Row],[Total_Amount]]/sales[[#This Row],[Quantity]]</f>
        <v>37150.53</v>
      </c>
    </row>
    <row r="101" spans="1:14" x14ac:dyDescent="0.3">
      <c r="A101" t="s">
        <v>702</v>
      </c>
      <c r="B101">
        <v>1011</v>
      </c>
      <c r="C101" t="s">
        <v>84</v>
      </c>
      <c r="D101" t="s">
        <v>50</v>
      </c>
      <c r="E101" t="s">
        <v>670</v>
      </c>
      <c r="F101">
        <v>4</v>
      </c>
      <c r="G101">
        <v>285323.24</v>
      </c>
      <c r="H101" t="s">
        <v>540</v>
      </c>
      <c r="I101">
        <v>2025</v>
      </c>
      <c r="J101" t="str">
        <f>_xlfn.XLOOKUP(sales[[#This Row],[Product_ID]],products[Product_ID],products[Product_Name])</f>
        <v>Headphones 7</v>
      </c>
      <c r="K101" t="str">
        <f>_xlfn.XLOOKUP(sales[[#This Row],[Store_ID]],stores[Store_ID],stores[Store_Name])</f>
        <v>Guntur Store</v>
      </c>
      <c r="L101" t="str">
        <f>_xlfn.XLOOKUP(sales[[#This Row],[Customer_ID]],customers[Customer_ID],customers[Customer_Name])</f>
        <v>Divya_11</v>
      </c>
      <c r="M101" t="str">
        <f>IF(sales[[#This Row],[Total_Amount]]&gt;=50000,"High Sales","Low Sales")</f>
        <v>High Sales</v>
      </c>
      <c r="N101">
        <f>sales[[#This Row],[Total_Amount]]/sales[[#This Row],[Quantity]]</f>
        <v>71330.81</v>
      </c>
    </row>
    <row r="102" spans="1:14" x14ac:dyDescent="0.3">
      <c r="A102" t="s">
        <v>703</v>
      </c>
      <c r="B102">
        <v>1090</v>
      </c>
      <c r="C102" t="s">
        <v>75</v>
      </c>
      <c r="D102" t="s">
        <v>57</v>
      </c>
      <c r="E102" t="s">
        <v>139</v>
      </c>
      <c r="F102">
        <v>3</v>
      </c>
      <c r="G102">
        <v>296430.3</v>
      </c>
      <c r="H102" t="s">
        <v>545</v>
      </c>
      <c r="I102">
        <v>2025</v>
      </c>
      <c r="J102" t="str">
        <f>_xlfn.XLOOKUP(sales[[#This Row],[Product_ID]],products[Product_ID],products[Product_Name])</f>
        <v>Smart Watch 3</v>
      </c>
      <c r="K102" t="str">
        <f>_xlfn.XLOOKUP(sales[[#This Row],[Store_ID]],stores[Store_ID],stores[Store_Name])</f>
        <v>Bengaluru Store</v>
      </c>
      <c r="L102" t="str">
        <f>_xlfn.XLOOKUP(sales[[#This Row],[Customer_ID]],customers[Customer_ID],customers[Customer_Name])</f>
        <v>Sita_90</v>
      </c>
      <c r="M102" t="str">
        <f>IF(sales[[#This Row],[Total_Amount]]&gt;=50000,"High Sales","Low Sales")</f>
        <v>High Sales</v>
      </c>
      <c r="N102">
        <f>sales[[#This Row],[Total_Amount]]/sales[[#This Row],[Quantity]]</f>
        <v>98810.099999999991</v>
      </c>
    </row>
    <row r="103" spans="1:14" x14ac:dyDescent="0.3">
      <c r="A103" t="s">
        <v>704</v>
      </c>
      <c r="B103">
        <v>1011</v>
      </c>
      <c r="C103" t="s">
        <v>110</v>
      </c>
      <c r="D103" t="s">
        <v>46</v>
      </c>
      <c r="E103" t="s">
        <v>435</v>
      </c>
      <c r="F103">
        <v>3</v>
      </c>
      <c r="G103">
        <v>336866.49</v>
      </c>
      <c r="H103" t="s">
        <v>525</v>
      </c>
      <c r="I103">
        <v>2025</v>
      </c>
      <c r="J103" t="str">
        <f>_xlfn.XLOOKUP(sales[[#This Row],[Product_ID]],products[Product_ID],products[Product_Name])</f>
        <v>Keyboard 20</v>
      </c>
      <c r="K103" t="str">
        <f>_xlfn.XLOOKUP(sales[[#This Row],[Store_ID]],stores[Store_ID],stores[Store_Name])</f>
        <v>Vijayawada Store</v>
      </c>
      <c r="L103" t="str">
        <f>_xlfn.XLOOKUP(sales[[#This Row],[Customer_ID]],customers[Customer_ID],customers[Customer_Name])</f>
        <v>Divya_11</v>
      </c>
      <c r="M103" t="str">
        <f>IF(sales[[#This Row],[Total_Amount]]&gt;=50000,"High Sales","Low Sales")</f>
        <v>High Sales</v>
      </c>
      <c r="N103">
        <f>sales[[#This Row],[Total_Amount]]/sales[[#This Row],[Quantity]]</f>
        <v>112288.83</v>
      </c>
    </row>
    <row r="104" spans="1:14" x14ac:dyDescent="0.3">
      <c r="A104" t="s">
        <v>705</v>
      </c>
      <c r="B104">
        <v>1196</v>
      </c>
      <c r="C104" t="s">
        <v>75</v>
      </c>
      <c r="D104" t="s">
        <v>46</v>
      </c>
      <c r="E104" t="s">
        <v>706</v>
      </c>
      <c r="F104">
        <v>1</v>
      </c>
      <c r="G104">
        <v>95148.81</v>
      </c>
      <c r="H104" t="s">
        <v>537</v>
      </c>
      <c r="I104">
        <v>2026</v>
      </c>
      <c r="J104" t="str">
        <f>_xlfn.XLOOKUP(sales[[#This Row],[Product_ID]],products[Product_ID],products[Product_Name])</f>
        <v>Smart Watch 3</v>
      </c>
      <c r="K104" t="str">
        <f>_xlfn.XLOOKUP(sales[[#This Row],[Store_ID]],stores[Store_ID],stores[Store_Name])</f>
        <v>Vijayawada Store</v>
      </c>
      <c r="L104" t="str">
        <f>_xlfn.XLOOKUP(sales[[#This Row],[Customer_ID]],customers[Customer_ID],customers[Customer_Name])</f>
        <v>Pooja_196</v>
      </c>
      <c r="M104" t="str">
        <f>IF(sales[[#This Row],[Total_Amount]]&gt;=50000,"High Sales","Low Sales")</f>
        <v>High Sales</v>
      </c>
      <c r="N104">
        <f>sales[[#This Row],[Total_Amount]]/sales[[#This Row],[Quantity]]</f>
        <v>95148.81</v>
      </c>
    </row>
    <row r="105" spans="1:14" x14ac:dyDescent="0.3">
      <c r="A105" t="s">
        <v>707</v>
      </c>
      <c r="B105">
        <v>1122</v>
      </c>
      <c r="C105" t="s">
        <v>79</v>
      </c>
      <c r="D105" t="s">
        <v>53</v>
      </c>
      <c r="E105" t="s">
        <v>708</v>
      </c>
      <c r="F105">
        <v>1</v>
      </c>
      <c r="G105">
        <v>67188.63</v>
      </c>
      <c r="H105" t="s">
        <v>572</v>
      </c>
      <c r="I105">
        <v>2025</v>
      </c>
      <c r="J105" t="str">
        <f>_xlfn.XLOOKUP(sales[[#This Row],[Product_ID]],products[Product_ID],products[Product_Name])</f>
        <v>Smartphone 5</v>
      </c>
      <c r="K105" t="str">
        <f>_xlfn.XLOOKUP(sales[[#This Row],[Store_ID]],stores[Store_ID],stores[Store_Name])</f>
        <v>Warangal Store</v>
      </c>
      <c r="L105" t="str">
        <f>_xlfn.XLOOKUP(sales[[#This Row],[Customer_ID]],customers[Customer_ID],customers[Customer_Name])</f>
        <v>Rahul_122</v>
      </c>
      <c r="M105" t="str">
        <f>IF(sales[[#This Row],[Total_Amount]]&gt;=50000,"High Sales","Low Sales")</f>
        <v>High Sales</v>
      </c>
      <c r="N105">
        <f>sales[[#This Row],[Total_Amount]]/sales[[#This Row],[Quantity]]</f>
        <v>67188.63</v>
      </c>
    </row>
    <row r="106" spans="1:14" x14ac:dyDescent="0.3">
      <c r="A106" t="s">
        <v>709</v>
      </c>
      <c r="B106">
        <v>1200</v>
      </c>
      <c r="C106" t="s">
        <v>77</v>
      </c>
      <c r="D106" t="s">
        <v>53</v>
      </c>
      <c r="E106" t="s">
        <v>708</v>
      </c>
      <c r="F106">
        <v>4</v>
      </c>
      <c r="G106">
        <v>427434</v>
      </c>
      <c r="H106" t="s">
        <v>572</v>
      </c>
      <c r="I106">
        <v>2025</v>
      </c>
      <c r="J106" t="str">
        <f>_xlfn.XLOOKUP(sales[[#This Row],[Product_ID]],products[Product_ID],products[Product_Name])</f>
        <v>Monitor 4</v>
      </c>
      <c r="K106" t="str">
        <f>_xlfn.XLOOKUP(sales[[#This Row],[Store_ID]],stores[Store_ID],stores[Store_Name])</f>
        <v>Warangal Store</v>
      </c>
      <c r="L106" t="str">
        <f>_xlfn.XLOOKUP(sales[[#This Row],[Customer_ID]],customers[Customer_ID],customers[Customer_Name])</f>
        <v>Nikhil_200</v>
      </c>
      <c r="M106" t="str">
        <f>IF(sales[[#This Row],[Total_Amount]]&gt;=50000,"High Sales","Low Sales")</f>
        <v>High Sales</v>
      </c>
      <c r="N106">
        <f>sales[[#This Row],[Total_Amount]]/sales[[#This Row],[Quantity]]</f>
        <v>106858.5</v>
      </c>
    </row>
    <row r="107" spans="1:14" x14ac:dyDescent="0.3">
      <c r="A107" t="s">
        <v>710</v>
      </c>
      <c r="B107">
        <v>1134</v>
      </c>
      <c r="C107" t="s">
        <v>106</v>
      </c>
      <c r="D107" t="s">
        <v>42</v>
      </c>
      <c r="E107" t="s">
        <v>648</v>
      </c>
      <c r="F107">
        <v>4</v>
      </c>
      <c r="G107">
        <v>86181.2</v>
      </c>
      <c r="H107" t="s">
        <v>545</v>
      </c>
      <c r="I107">
        <v>2026</v>
      </c>
      <c r="J107" t="str">
        <f>_xlfn.XLOOKUP(sales[[#This Row],[Product_ID]],products[Product_ID],products[Product_Name])</f>
        <v>Microwave 18</v>
      </c>
      <c r="K107" t="str">
        <f>_xlfn.XLOOKUP(sales[[#This Row],[Store_ID]],stores[Store_ID],stores[Store_Name])</f>
        <v>Hyderabad Store</v>
      </c>
      <c r="L107" t="str">
        <f>_xlfn.XLOOKUP(sales[[#This Row],[Customer_ID]],customers[Customer_ID],customers[Customer_Name])</f>
        <v>Vikram_134</v>
      </c>
      <c r="M107" t="str">
        <f>IF(sales[[#This Row],[Total_Amount]]&gt;=50000,"High Sales","Low Sales")</f>
        <v>High Sales</v>
      </c>
      <c r="N107">
        <f>sales[[#This Row],[Total_Amount]]/sales[[#This Row],[Quantity]]</f>
        <v>21545.3</v>
      </c>
    </row>
    <row r="108" spans="1:14" x14ac:dyDescent="0.3">
      <c r="A108" t="s">
        <v>711</v>
      </c>
      <c r="B108">
        <v>1058</v>
      </c>
      <c r="C108" t="s">
        <v>126</v>
      </c>
      <c r="D108" t="s">
        <v>50</v>
      </c>
      <c r="E108" t="s">
        <v>712</v>
      </c>
      <c r="F108">
        <v>5</v>
      </c>
      <c r="G108">
        <v>422347.55</v>
      </c>
      <c r="H108" t="s">
        <v>537</v>
      </c>
      <c r="I108">
        <v>2026</v>
      </c>
      <c r="J108" t="str">
        <f>_xlfn.XLOOKUP(sales[[#This Row],[Product_ID]],products[Product_ID],products[Product_Name])</f>
        <v>Router 28</v>
      </c>
      <c r="K108" t="str">
        <f>_xlfn.XLOOKUP(sales[[#This Row],[Store_ID]],stores[Store_ID],stores[Store_Name])</f>
        <v>Guntur Store</v>
      </c>
      <c r="L108" t="str">
        <f>_xlfn.XLOOKUP(sales[[#This Row],[Customer_ID]],customers[Customer_ID],customers[Customer_Name])</f>
        <v>Arjun_58</v>
      </c>
      <c r="M108" t="str">
        <f>IF(sales[[#This Row],[Total_Amount]]&gt;=50000,"High Sales","Low Sales")</f>
        <v>High Sales</v>
      </c>
      <c r="N108">
        <f>sales[[#This Row],[Total_Amount]]/sales[[#This Row],[Quantity]]</f>
        <v>84469.51</v>
      </c>
    </row>
    <row r="109" spans="1:14" x14ac:dyDescent="0.3">
      <c r="A109" t="s">
        <v>713</v>
      </c>
      <c r="B109">
        <v>1070</v>
      </c>
      <c r="C109" t="s">
        <v>128</v>
      </c>
      <c r="D109" t="s">
        <v>50</v>
      </c>
      <c r="E109" t="s">
        <v>714</v>
      </c>
      <c r="F109">
        <v>5</v>
      </c>
      <c r="G109">
        <v>423538.3</v>
      </c>
      <c r="H109" t="s">
        <v>572</v>
      </c>
      <c r="I109">
        <v>2025</v>
      </c>
      <c r="J109" t="str">
        <f>_xlfn.XLOOKUP(sales[[#This Row],[Product_ID]],products[Product_ID],products[Product_Name])</f>
        <v>Printer 29</v>
      </c>
      <c r="K109" t="str">
        <f>_xlfn.XLOOKUP(sales[[#This Row],[Store_ID]],stores[Store_ID],stores[Store_Name])</f>
        <v>Guntur Store</v>
      </c>
      <c r="L109" t="str">
        <f>_xlfn.XLOOKUP(sales[[#This Row],[Customer_ID]],customers[Customer_ID],customers[Customer_Name])</f>
        <v>Keerthi_70</v>
      </c>
      <c r="M109" t="str">
        <f>IF(sales[[#This Row],[Total_Amount]]&gt;=50000,"High Sales","Low Sales")</f>
        <v>High Sales</v>
      </c>
      <c r="N109">
        <f>sales[[#This Row],[Total_Amount]]/sales[[#This Row],[Quantity]]</f>
        <v>84707.66</v>
      </c>
    </row>
    <row r="110" spans="1:14" x14ac:dyDescent="0.3">
      <c r="A110" t="s">
        <v>715</v>
      </c>
      <c r="B110">
        <v>1095</v>
      </c>
      <c r="C110" t="s">
        <v>116</v>
      </c>
      <c r="D110" t="s">
        <v>46</v>
      </c>
      <c r="E110" t="s">
        <v>162</v>
      </c>
      <c r="F110">
        <v>5</v>
      </c>
      <c r="G110">
        <v>252025.15</v>
      </c>
      <c r="H110" t="s">
        <v>531</v>
      </c>
      <c r="I110">
        <v>2025</v>
      </c>
      <c r="J110" t="str">
        <f>_xlfn.XLOOKUP(sales[[#This Row],[Product_ID]],products[Product_ID],products[Product_Name])</f>
        <v>Microwave 23</v>
      </c>
      <c r="K110" t="str">
        <f>_xlfn.XLOOKUP(sales[[#This Row],[Store_ID]],stores[Store_ID],stores[Store_Name])</f>
        <v>Vijayawada Store</v>
      </c>
      <c r="L110" t="str">
        <f>_xlfn.XLOOKUP(sales[[#This Row],[Customer_ID]],customers[Customer_ID],customers[Customer_Name])</f>
        <v>Divya_95</v>
      </c>
      <c r="M110" t="str">
        <f>IF(sales[[#This Row],[Total_Amount]]&gt;=50000,"High Sales","Low Sales")</f>
        <v>High Sales</v>
      </c>
      <c r="N110">
        <f>sales[[#This Row],[Total_Amount]]/sales[[#This Row],[Quantity]]</f>
        <v>50405.03</v>
      </c>
    </row>
    <row r="111" spans="1:14" x14ac:dyDescent="0.3">
      <c r="A111" t="s">
        <v>716</v>
      </c>
      <c r="B111">
        <v>1053</v>
      </c>
      <c r="C111" t="s">
        <v>120</v>
      </c>
      <c r="D111" t="s">
        <v>62</v>
      </c>
      <c r="E111" t="s">
        <v>717</v>
      </c>
      <c r="F111">
        <v>2</v>
      </c>
      <c r="G111">
        <v>89233.56</v>
      </c>
      <c r="H111" t="s">
        <v>575</v>
      </c>
      <c r="I111">
        <v>2026</v>
      </c>
      <c r="J111" t="str">
        <f>_xlfn.XLOOKUP(sales[[#This Row],[Product_ID]],products[Product_ID],products[Product_Name])</f>
        <v>Printer 25</v>
      </c>
      <c r="K111" t="str">
        <f>_xlfn.XLOOKUP(sales[[#This Row],[Store_ID]],stores[Store_ID],stores[Store_Name])</f>
        <v>Pune Store</v>
      </c>
      <c r="L111" t="str">
        <f>_xlfn.XLOOKUP(sales[[#This Row],[Customer_ID]],customers[Customer_ID],customers[Customer_Name])</f>
        <v>Ramesh_53</v>
      </c>
      <c r="M111" t="str">
        <f>IF(sales[[#This Row],[Total_Amount]]&gt;=50000,"High Sales","Low Sales")</f>
        <v>High Sales</v>
      </c>
      <c r="N111">
        <f>sales[[#This Row],[Total_Amount]]/sales[[#This Row],[Quantity]]</f>
        <v>44616.78</v>
      </c>
    </row>
    <row r="112" spans="1:14" x14ac:dyDescent="0.3">
      <c r="A112" t="s">
        <v>718</v>
      </c>
      <c r="B112">
        <v>1122</v>
      </c>
      <c r="C112" t="s">
        <v>72</v>
      </c>
      <c r="D112" t="s">
        <v>59</v>
      </c>
      <c r="E112" t="s">
        <v>719</v>
      </c>
      <c r="F112">
        <v>1</v>
      </c>
      <c r="G112">
        <v>4157.49</v>
      </c>
      <c r="H112" t="s">
        <v>540</v>
      </c>
      <c r="I112">
        <v>2025</v>
      </c>
      <c r="J112" t="str">
        <f>_xlfn.XLOOKUP(sales[[#This Row],[Product_ID]],products[Product_ID],products[Product_Name])</f>
        <v>Headphones 2</v>
      </c>
      <c r="K112" t="str">
        <f>_xlfn.XLOOKUP(sales[[#This Row],[Store_ID]],stores[Store_ID],stores[Store_Name])</f>
        <v>Chennai Store</v>
      </c>
      <c r="L112" t="str">
        <f>_xlfn.XLOOKUP(sales[[#This Row],[Customer_ID]],customers[Customer_ID],customers[Customer_Name])</f>
        <v>Rahul_122</v>
      </c>
      <c r="M112" t="str">
        <f>IF(sales[[#This Row],[Total_Amount]]&gt;=50000,"High Sales","Low Sales")</f>
        <v>Low Sales</v>
      </c>
      <c r="N112">
        <f>sales[[#This Row],[Total_Amount]]/sales[[#This Row],[Quantity]]</f>
        <v>4157.49</v>
      </c>
    </row>
    <row r="113" spans="1:14" x14ac:dyDescent="0.3">
      <c r="A113" t="s">
        <v>720</v>
      </c>
      <c r="B113">
        <v>1125</v>
      </c>
      <c r="C113" t="s">
        <v>114</v>
      </c>
      <c r="D113" t="s">
        <v>62</v>
      </c>
      <c r="E113" t="s">
        <v>266</v>
      </c>
      <c r="F113">
        <v>2</v>
      </c>
      <c r="G113">
        <v>16202.26</v>
      </c>
      <c r="H113" t="s">
        <v>575</v>
      </c>
      <c r="I113">
        <v>2025</v>
      </c>
      <c r="J113" t="str">
        <f>_xlfn.XLOOKUP(sales[[#This Row],[Product_ID]],products[Product_ID],products[Product_Name])</f>
        <v>Mixer 22</v>
      </c>
      <c r="K113" t="str">
        <f>_xlfn.XLOOKUP(sales[[#This Row],[Store_ID]],stores[Store_ID],stores[Store_Name])</f>
        <v>Pune Store</v>
      </c>
      <c r="L113" t="str">
        <f>_xlfn.XLOOKUP(sales[[#This Row],[Customer_ID]],customers[Customer_ID],customers[Customer_Name])</f>
        <v>Ramesh_125</v>
      </c>
      <c r="M113" t="str">
        <f>IF(sales[[#This Row],[Total_Amount]]&gt;=50000,"High Sales","Low Sales")</f>
        <v>Low Sales</v>
      </c>
      <c r="N113">
        <f>sales[[#This Row],[Total_Amount]]/sales[[#This Row],[Quantity]]</f>
        <v>8101.13</v>
      </c>
    </row>
    <row r="114" spans="1:14" x14ac:dyDescent="0.3">
      <c r="A114" t="s">
        <v>721</v>
      </c>
      <c r="B114">
        <v>1081</v>
      </c>
      <c r="C114" t="s">
        <v>69</v>
      </c>
      <c r="D114" t="s">
        <v>48</v>
      </c>
      <c r="E114" t="s">
        <v>722</v>
      </c>
      <c r="F114">
        <v>1</v>
      </c>
      <c r="G114">
        <v>115496.47</v>
      </c>
      <c r="H114" t="s">
        <v>537</v>
      </c>
      <c r="I114">
        <v>2026</v>
      </c>
      <c r="J114" t="str">
        <f>_xlfn.XLOOKUP(sales[[#This Row],[Product_ID]],products[Product_ID],products[Product_Name])</f>
        <v>Headphones 1</v>
      </c>
      <c r="K114" t="str">
        <f>_xlfn.XLOOKUP(sales[[#This Row],[Store_ID]],stores[Store_ID],stores[Store_Name])</f>
        <v>Visakhapatnam Store</v>
      </c>
      <c r="L114" t="str">
        <f>_xlfn.XLOOKUP(sales[[#This Row],[Customer_ID]],customers[Customer_ID],customers[Customer_Name])</f>
        <v>Anjali_81</v>
      </c>
      <c r="M114" t="str">
        <f>IF(sales[[#This Row],[Total_Amount]]&gt;=50000,"High Sales","Low Sales")</f>
        <v>High Sales</v>
      </c>
      <c r="N114">
        <f>sales[[#This Row],[Total_Amount]]/sales[[#This Row],[Quantity]]</f>
        <v>115496.47</v>
      </c>
    </row>
    <row r="115" spans="1:14" x14ac:dyDescent="0.3">
      <c r="A115" t="s">
        <v>723</v>
      </c>
      <c r="B115">
        <v>1078</v>
      </c>
      <c r="C115" t="s">
        <v>120</v>
      </c>
      <c r="D115" t="s">
        <v>57</v>
      </c>
      <c r="E115" t="s">
        <v>724</v>
      </c>
      <c r="F115">
        <v>3</v>
      </c>
      <c r="G115">
        <v>313116.75</v>
      </c>
      <c r="H115" t="s">
        <v>545</v>
      </c>
      <c r="I115">
        <v>2025</v>
      </c>
      <c r="J115" t="str">
        <f>_xlfn.XLOOKUP(sales[[#This Row],[Product_ID]],products[Product_ID],products[Product_Name])</f>
        <v>Printer 25</v>
      </c>
      <c r="K115" t="str">
        <f>_xlfn.XLOOKUP(sales[[#This Row],[Store_ID]],stores[Store_ID],stores[Store_Name])</f>
        <v>Bengaluru Store</v>
      </c>
      <c r="L115" t="str">
        <f>_xlfn.XLOOKUP(sales[[#This Row],[Customer_ID]],customers[Customer_ID],customers[Customer_Name])</f>
        <v>Pooja_78</v>
      </c>
      <c r="M115" t="str">
        <f>IF(sales[[#This Row],[Total_Amount]]&gt;=50000,"High Sales","Low Sales")</f>
        <v>High Sales</v>
      </c>
      <c r="N115">
        <f>sales[[#This Row],[Total_Amount]]/sales[[#This Row],[Quantity]]</f>
        <v>104372.25</v>
      </c>
    </row>
    <row r="116" spans="1:14" x14ac:dyDescent="0.3">
      <c r="A116" t="s">
        <v>725</v>
      </c>
      <c r="B116">
        <v>1085</v>
      </c>
      <c r="C116" t="s">
        <v>122</v>
      </c>
      <c r="D116" t="s">
        <v>59</v>
      </c>
      <c r="E116" t="s">
        <v>144</v>
      </c>
      <c r="F116">
        <v>3</v>
      </c>
      <c r="G116">
        <v>216701.16</v>
      </c>
      <c r="H116" t="s">
        <v>522</v>
      </c>
      <c r="I116">
        <v>2025</v>
      </c>
      <c r="J116" t="str">
        <f>_xlfn.XLOOKUP(sales[[#This Row],[Product_ID]],products[Product_ID],products[Product_Name])</f>
        <v>Router 26</v>
      </c>
      <c r="K116" t="str">
        <f>_xlfn.XLOOKUP(sales[[#This Row],[Store_ID]],stores[Store_ID],stores[Store_Name])</f>
        <v>Chennai Store</v>
      </c>
      <c r="L116" t="str">
        <f>_xlfn.XLOOKUP(sales[[#This Row],[Customer_ID]],customers[Customer_ID],customers[Customer_Name])</f>
        <v>Sneha_85</v>
      </c>
      <c r="M116" t="str">
        <f>IF(sales[[#This Row],[Total_Amount]]&gt;=50000,"High Sales","Low Sales")</f>
        <v>High Sales</v>
      </c>
      <c r="N116">
        <f>sales[[#This Row],[Total_Amount]]/sales[[#This Row],[Quantity]]</f>
        <v>72233.72</v>
      </c>
    </row>
    <row r="117" spans="1:14" x14ac:dyDescent="0.3">
      <c r="A117" t="s">
        <v>726</v>
      </c>
      <c r="B117">
        <v>1058</v>
      </c>
      <c r="C117" t="s">
        <v>69</v>
      </c>
      <c r="D117" t="s">
        <v>42</v>
      </c>
      <c r="E117" t="s">
        <v>162</v>
      </c>
      <c r="F117">
        <v>5</v>
      </c>
      <c r="G117">
        <v>592023.4</v>
      </c>
      <c r="H117" t="s">
        <v>531</v>
      </c>
      <c r="I117">
        <v>2025</v>
      </c>
      <c r="J117" t="str">
        <f>_xlfn.XLOOKUP(sales[[#This Row],[Product_ID]],products[Product_ID],products[Product_Name])</f>
        <v>Headphones 1</v>
      </c>
      <c r="K117" t="str">
        <f>_xlfn.XLOOKUP(sales[[#This Row],[Store_ID]],stores[Store_ID],stores[Store_Name])</f>
        <v>Hyderabad Store</v>
      </c>
      <c r="L117" t="str">
        <f>_xlfn.XLOOKUP(sales[[#This Row],[Customer_ID]],customers[Customer_ID],customers[Customer_Name])</f>
        <v>Arjun_58</v>
      </c>
      <c r="M117" t="str">
        <f>IF(sales[[#This Row],[Total_Amount]]&gt;=50000,"High Sales","Low Sales")</f>
        <v>High Sales</v>
      </c>
      <c r="N117">
        <f>sales[[#This Row],[Total_Amount]]/sales[[#This Row],[Quantity]]</f>
        <v>118404.68000000001</v>
      </c>
    </row>
    <row r="118" spans="1:14" x14ac:dyDescent="0.3">
      <c r="A118" t="s">
        <v>727</v>
      </c>
      <c r="B118">
        <v>1176</v>
      </c>
      <c r="C118" t="s">
        <v>126</v>
      </c>
      <c r="D118" t="s">
        <v>50</v>
      </c>
      <c r="E118" t="s">
        <v>728</v>
      </c>
      <c r="F118">
        <v>5</v>
      </c>
      <c r="G118">
        <v>539569.19999999995</v>
      </c>
      <c r="H118" t="s">
        <v>525</v>
      </c>
      <c r="I118">
        <v>2026</v>
      </c>
      <c r="J118" t="str">
        <f>_xlfn.XLOOKUP(sales[[#This Row],[Product_ID]],products[Product_ID],products[Product_Name])</f>
        <v>Router 28</v>
      </c>
      <c r="K118" t="str">
        <f>_xlfn.XLOOKUP(sales[[#This Row],[Store_ID]],stores[Store_ID],stores[Store_Name])</f>
        <v>Guntur Store</v>
      </c>
      <c r="L118" t="str">
        <f>_xlfn.XLOOKUP(sales[[#This Row],[Customer_ID]],customers[Customer_ID],customers[Customer_Name])</f>
        <v>Vikram_176</v>
      </c>
      <c r="M118" t="str">
        <f>IF(sales[[#This Row],[Total_Amount]]&gt;=50000,"High Sales","Low Sales")</f>
        <v>High Sales</v>
      </c>
      <c r="N118">
        <f>sales[[#This Row],[Total_Amount]]/sales[[#This Row],[Quantity]]</f>
        <v>107913.84</v>
      </c>
    </row>
    <row r="119" spans="1:14" x14ac:dyDescent="0.3">
      <c r="A119" t="s">
        <v>729</v>
      </c>
      <c r="B119">
        <v>1119</v>
      </c>
      <c r="C119" t="s">
        <v>126</v>
      </c>
      <c r="D119" t="s">
        <v>57</v>
      </c>
      <c r="E119" t="s">
        <v>730</v>
      </c>
      <c r="F119">
        <v>5</v>
      </c>
      <c r="G119">
        <v>237612.75</v>
      </c>
      <c r="H119" t="s">
        <v>531</v>
      </c>
      <c r="I119">
        <v>2026</v>
      </c>
      <c r="J119" t="str">
        <f>_xlfn.XLOOKUP(sales[[#This Row],[Product_ID]],products[Product_ID],products[Product_Name])</f>
        <v>Router 28</v>
      </c>
      <c r="K119" t="str">
        <f>_xlfn.XLOOKUP(sales[[#This Row],[Store_ID]],stores[Store_ID],stores[Store_Name])</f>
        <v>Bengaluru Store</v>
      </c>
      <c r="L119" t="str">
        <f>_xlfn.XLOOKUP(sales[[#This Row],[Customer_ID]],customers[Customer_ID],customers[Customer_Name])</f>
        <v>Ramesh_119</v>
      </c>
      <c r="M119" t="str">
        <f>IF(sales[[#This Row],[Total_Amount]]&gt;=50000,"High Sales","Low Sales")</f>
        <v>High Sales</v>
      </c>
      <c r="N119">
        <f>sales[[#This Row],[Total_Amount]]/sales[[#This Row],[Quantity]]</f>
        <v>47522.55</v>
      </c>
    </row>
    <row r="120" spans="1:14" x14ac:dyDescent="0.3">
      <c r="A120" t="s">
        <v>731</v>
      </c>
      <c r="B120">
        <v>1086</v>
      </c>
      <c r="C120" t="s">
        <v>102</v>
      </c>
      <c r="D120" t="s">
        <v>48</v>
      </c>
      <c r="E120" t="s">
        <v>732</v>
      </c>
      <c r="F120">
        <v>4</v>
      </c>
      <c r="G120">
        <v>206160.08</v>
      </c>
      <c r="H120" t="s">
        <v>545</v>
      </c>
      <c r="I120">
        <v>2025</v>
      </c>
      <c r="J120" t="str">
        <f>_xlfn.XLOOKUP(sales[[#This Row],[Product_ID]],products[Product_ID],products[Product_Name])</f>
        <v>Power Bank 16</v>
      </c>
      <c r="K120" t="str">
        <f>_xlfn.XLOOKUP(sales[[#This Row],[Store_ID]],stores[Store_ID],stores[Store_Name])</f>
        <v>Visakhapatnam Store</v>
      </c>
      <c r="L120" t="str">
        <f>_xlfn.XLOOKUP(sales[[#This Row],[Customer_ID]],customers[Customer_ID],customers[Customer_Name])</f>
        <v>Priya_86</v>
      </c>
      <c r="M120" t="str">
        <f>IF(sales[[#This Row],[Total_Amount]]&gt;=50000,"High Sales","Low Sales")</f>
        <v>High Sales</v>
      </c>
      <c r="N120">
        <f>sales[[#This Row],[Total_Amount]]/sales[[#This Row],[Quantity]]</f>
        <v>51540.02</v>
      </c>
    </row>
    <row r="121" spans="1:14" x14ac:dyDescent="0.3">
      <c r="A121" t="s">
        <v>733</v>
      </c>
      <c r="B121">
        <v>1174</v>
      </c>
      <c r="C121" t="s">
        <v>94</v>
      </c>
      <c r="D121" t="s">
        <v>59</v>
      </c>
      <c r="E121" t="s">
        <v>734</v>
      </c>
      <c r="F121">
        <v>3</v>
      </c>
      <c r="G121">
        <v>167266.26</v>
      </c>
      <c r="H121" t="s">
        <v>572</v>
      </c>
      <c r="I121">
        <v>2025</v>
      </c>
      <c r="J121" t="str">
        <f>_xlfn.XLOOKUP(sales[[#This Row],[Product_ID]],products[Product_ID],products[Product_Name])</f>
        <v>Mouse 12</v>
      </c>
      <c r="K121" t="str">
        <f>_xlfn.XLOOKUP(sales[[#This Row],[Store_ID]],stores[Store_ID],stores[Store_Name])</f>
        <v>Chennai Store</v>
      </c>
      <c r="L121" t="str">
        <f>_xlfn.XLOOKUP(sales[[#This Row],[Customer_ID]],customers[Customer_ID],customers[Customer_Name])</f>
        <v>Keerthi_174</v>
      </c>
      <c r="M121" t="str">
        <f>IF(sales[[#This Row],[Total_Amount]]&gt;=50000,"High Sales","Low Sales")</f>
        <v>High Sales</v>
      </c>
      <c r="N121">
        <f>sales[[#This Row],[Total_Amount]]/sales[[#This Row],[Quantity]]</f>
        <v>55755.420000000006</v>
      </c>
    </row>
    <row r="122" spans="1:14" x14ac:dyDescent="0.3">
      <c r="A122" t="s">
        <v>735</v>
      </c>
      <c r="B122">
        <v>1112</v>
      </c>
      <c r="C122" t="s">
        <v>110</v>
      </c>
      <c r="D122" t="s">
        <v>50</v>
      </c>
      <c r="E122" t="s">
        <v>266</v>
      </c>
      <c r="F122">
        <v>2</v>
      </c>
      <c r="G122">
        <v>208912.1</v>
      </c>
      <c r="H122" t="s">
        <v>575</v>
      </c>
      <c r="I122">
        <v>2025</v>
      </c>
      <c r="J122" t="str">
        <f>_xlfn.XLOOKUP(sales[[#This Row],[Product_ID]],products[Product_ID],products[Product_Name])</f>
        <v>Keyboard 20</v>
      </c>
      <c r="K122" t="str">
        <f>_xlfn.XLOOKUP(sales[[#This Row],[Store_ID]],stores[Store_ID],stores[Store_Name])</f>
        <v>Guntur Store</v>
      </c>
      <c r="L122" t="str">
        <f>_xlfn.XLOOKUP(sales[[#This Row],[Customer_ID]],customers[Customer_ID],customers[Customer_Name])</f>
        <v>Sita_112</v>
      </c>
      <c r="M122" t="str">
        <f>IF(sales[[#This Row],[Total_Amount]]&gt;=50000,"High Sales","Low Sales")</f>
        <v>High Sales</v>
      </c>
      <c r="N122">
        <f>sales[[#This Row],[Total_Amount]]/sales[[#This Row],[Quantity]]</f>
        <v>104456.05</v>
      </c>
    </row>
    <row r="123" spans="1:14" x14ac:dyDescent="0.3">
      <c r="A123" t="s">
        <v>736</v>
      </c>
      <c r="B123">
        <v>1021</v>
      </c>
      <c r="C123" t="s">
        <v>126</v>
      </c>
      <c r="D123" t="s">
        <v>42</v>
      </c>
      <c r="E123" t="s">
        <v>737</v>
      </c>
      <c r="F123">
        <v>4</v>
      </c>
      <c r="G123">
        <v>434825</v>
      </c>
      <c r="H123" t="s">
        <v>558</v>
      </c>
      <c r="I123">
        <v>2025</v>
      </c>
      <c r="J123" t="str">
        <f>_xlfn.XLOOKUP(sales[[#This Row],[Product_ID]],products[Product_ID],products[Product_Name])</f>
        <v>Router 28</v>
      </c>
      <c r="K123" t="str">
        <f>_xlfn.XLOOKUP(sales[[#This Row],[Store_ID]],stores[Store_ID],stores[Store_Name])</f>
        <v>Hyderabad Store</v>
      </c>
      <c r="L123" t="str">
        <f>_xlfn.XLOOKUP(sales[[#This Row],[Customer_ID]],customers[Customer_ID],customers[Customer_Name])</f>
        <v>Priya_21</v>
      </c>
      <c r="M123" t="str">
        <f>IF(sales[[#This Row],[Total_Amount]]&gt;=50000,"High Sales","Low Sales")</f>
        <v>High Sales</v>
      </c>
      <c r="N123">
        <f>sales[[#This Row],[Total_Amount]]/sales[[#This Row],[Quantity]]</f>
        <v>108706.25</v>
      </c>
    </row>
    <row r="124" spans="1:14" x14ac:dyDescent="0.3">
      <c r="A124" t="s">
        <v>738</v>
      </c>
      <c r="B124">
        <v>1183</v>
      </c>
      <c r="C124" t="s">
        <v>100</v>
      </c>
      <c r="D124" t="s">
        <v>50</v>
      </c>
      <c r="E124" t="s">
        <v>739</v>
      </c>
      <c r="F124">
        <v>5</v>
      </c>
      <c r="G124">
        <v>177742.3</v>
      </c>
      <c r="H124" t="s">
        <v>525</v>
      </c>
      <c r="I124">
        <v>2026</v>
      </c>
      <c r="J124" t="str">
        <f>_xlfn.XLOOKUP(sales[[#This Row],[Product_ID]],products[Product_ID],products[Product_Name])</f>
        <v>Tablet 15</v>
      </c>
      <c r="K124" t="str">
        <f>_xlfn.XLOOKUP(sales[[#This Row],[Store_ID]],stores[Store_ID],stores[Store_Name])</f>
        <v>Guntur Store</v>
      </c>
      <c r="L124" t="str">
        <f>_xlfn.XLOOKUP(sales[[#This Row],[Customer_ID]],customers[Customer_ID],customers[Customer_Name])</f>
        <v>Sita_183</v>
      </c>
      <c r="M124" t="str">
        <f>IF(sales[[#This Row],[Total_Amount]]&gt;=50000,"High Sales","Low Sales")</f>
        <v>High Sales</v>
      </c>
      <c r="N124">
        <f>sales[[#This Row],[Total_Amount]]/sales[[#This Row],[Quantity]]</f>
        <v>35548.46</v>
      </c>
    </row>
    <row r="125" spans="1:14" x14ac:dyDescent="0.3">
      <c r="A125" t="s">
        <v>740</v>
      </c>
      <c r="B125">
        <v>1074</v>
      </c>
      <c r="C125" t="s">
        <v>94</v>
      </c>
      <c r="D125" t="s">
        <v>42</v>
      </c>
      <c r="E125" t="s">
        <v>741</v>
      </c>
      <c r="F125">
        <v>4</v>
      </c>
      <c r="G125">
        <v>416425.92</v>
      </c>
      <c r="H125" t="s">
        <v>545</v>
      </c>
      <c r="I125">
        <v>2026</v>
      </c>
      <c r="J125" t="str">
        <f>_xlfn.XLOOKUP(sales[[#This Row],[Product_ID]],products[Product_ID],products[Product_Name])</f>
        <v>Mouse 12</v>
      </c>
      <c r="K125" t="str">
        <f>_xlfn.XLOOKUP(sales[[#This Row],[Store_ID]],stores[Store_ID],stores[Store_Name])</f>
        <v>Hyderabad Store</v>
      </c>
      <c r="L125" t="str">
        <f>_xlfn.XLOOKUP(sales[[#This Row],[Customer_ID]],customers[Customer_ID],customers[Customer_Name])</f>
        <v>Sita_74</v>
      </c>
      <c r="M125" t="str">
        <f>IF(sales[[#This Row],[Total_Amount]]&gt;=50000,"High Sales","Low Sales")</f>
        <v>High Sales</v>
      </c>
      <c r="N125">
        <f>sales[[#This Row],[Total_Amount]]/sales[[#This Row],[Quantity]]</f>
        <v>104106.48</v>
      </c>
    </row>
    <row r="126" spans="1:14" x14ac:dyDescent="0.3">
      <c r="A126" t="s">
        <v>742</v>
      </c>
      <c r="B126">
        <v>1180</v>
      </c>
      <c r="C126" t="s">
        <v>112</v>
      </c>
      <c r="D126" t="s">
        <v>46</v>
      </c>
      <c r="E126" t="s">
        <v>743</v>
      </c>
      <c r="F126">
        <v>1</v>
      </c>
      <c r="G126">
        <v>118875.38</v>
      </c>
      <c r="H126" t="s">
        <v>575</v>
      </c>
      <c r="I126">
        <v>2025</v>
      </c>
      <c r="J126" t="str">
        <f>_xlfn.XLOOKUP(sales[[#This Row],[Product_ID]],products[Product_ID],products[Product_Name])</f>
        <v>Monitor 21</v>
      </c>
      <c r="K126" t="str">
        <f>_xlfn.XLOOKUP(sales[[#This Row],[Store_ID]],stores[Store_ID],stores[Store_Name])</f>
        <v>Vijayawada Store</v>
      </c>
      <c r="L126" t="str">
        <f>_xlfn.XLOOKUP(sales[[#This Row],[Customer_ID]],customers[Customer_ID],customers[Customer_Name])</f>
        <v>Anjali_180</v>
      </c>
      <c r="M126" t="str">
        <f>IF(sales[[#This Row],[Total_Amount]]&gt;=50000,"High Sales","Low Sales")</f>
        <v>High Sales</v>
      </c>
      <c r="N126">
        <f>sales[[#This Row],[Total_Amount]]/sales[[#This Row],[Quantity]]</f>
        <v>118875.38</v>
      </c>
    </row>
    <row r="127" spans="1:14" x14ac:dyDescent="0.3">
      <c r="A127" t="s">
        <v>744</v>
      </c>
      <c r="B127">
        <v>1175</v>
      </c>
      <c r="C127" t="s">
        <v>102</v>
      </c>
      <c r="D127" t="s">
        <v>46</v>
      </c>
      <c r="E127" t="s">
        <v>745</v>
      </c>
      <c r="F127">
        <v>1</v>
      </c>
      <c r="G127">
        <v>52723.81</v>
      </c>
      <c r="H127" t="s">
        <v>558</v>
      </c>
      <c r="I127">
        <v>2025</v>
      </c>
      <c r="J127" t="str">
        <f>_xlfn.XLOOKUP(sales[[#This Row],[Product_ID]],products[Product_ID],products[Product_Name])</f>
        <v>Power Bank 16</v>
      </c>
      <c r="K127" t="str">
        <f>_xlfn.XLOOKUP(sales[[#This Row],[Store_ID]],stores[Store_ID],stores[Store_Name])</f>
        <v>Vijayawada Store</v>
      </c>
      <c r="L127" t="str">
        <f>_xlfn.XLOOKUP(sales[[#This Row],[Customer_ID]],customers[Customer_ID],customers[Customer_Name])</f>
        <v>Ramesh_175</v>
      </c>
      <c r="M127" t="str">
        <f>IF(sales[[#This Row],[Total_Amount]]&gt;=50000,"High Sales","Low Sales")</f>
        <v>High Sales</v>
      </c>
      <c r="N127">
        <f>sales[[#This Row],[Total_Amount]]/sales[[#This Row],[Quantity]]</f>
        <v>52723.81</v>
      </c>
    </row>
    <row r="128" spans="1:14" x14ac:dyDescent="0.3">
      <c r="A128" t="s">
        <v>746</v>
      </c>
      <c r="B128">
        <v>1045</v>
      </c>
      <c r="C128" t="s">
        <v>104</v>
      </c>
      <c r="D128" t="s">
        <v>48</v>
      </c>
      <c r="E128" t="s">
        <v>747</v>
      </c>
      <c r="F128">
        <v>1</v>
      </c>
      <c r="G128">
        <v>15561.4</v>
      </c>
      <c r="H128" t="s">
        <v>575</v>
      </c>
      <c r="I128">
        <v>2026</v>
      </c>
      <c r="J128" t="str">
        <f>_xlfn.XLOOKUP(sales[[#This Row],[Product_ID]],products[Product_ID],products[Product_Name])</f>
        <v>Mixer 17</v>
      </c>
      <c r="K128" t="str">
        <f>_xlfn.XLOOKUP(sales[[#This Row],[Store_ID]],stores[Store_ID],stores[Store_Name])</f>
        <v>Visakhapatnam Store</v>
      </c>
      <c r="L128" t="str">
        <f>_xlfn.XLOOKUP(sales[[#This Row],[Customer_ID]],customers[Customer_ID],customers[Customer_Name])</f>
        <v>Rahul_45</v>
      </c>
      <c r="M128" t="str">
        <f>IF(sales[[#This Row],[Total_Amount]]&gt;=50000,"High Sales","Low Sales")</f>
        <v>Low Sales</v>
      </c>
      <c r="N128">
        <f>sales[[#This Row],[Total_Amount]]/sales[[#This Row],[Quantity]]</f>
        <v>15561.4</v>
      </c>
    </row>
    <row r="129" spans="1:14" x14ac:dyDescent="0.3">
      <c r="A129" t="s">
        <v>748</v>
      </c>
      <c r="B129">
        <v>1067</v>
      </c>
      <c r="C129" t="s">
        <v>100</v>
      </c>
      <c r="D129" t="s">
        <v>62</v>
      </c>
      <c r="E129" t="s">
        <v>308</v>
      </c>
      <c r="F129">
        <v>2</v>
      </c>
      <c r="G129">
        <v>12695.68</v>
      </c>
      <c r="H129" t="s">
        <v>545</v>
      </c>
      <c r="I129">
        <v>2025</v>
      </c>
      <c r="J129" t="str">
        <f>_xlfn.XLOOKUP(sales[[#This Row],[Product_ID]],products[Product_ID],products[Product_Name])</f>
        <v>Tablet 15</v>
      </c>
      <c r="K129" t="str">
        <f>_xlfn.XLOOKUP(sales[[#This Row],[Store_ID]],stores[Store_ID],stores[Store_Name])</f>
        <v>Pune Store</v>
      </c>
      <c r="L129" t="str">
        <f>_xlfn.XLOOKUP(sales[[#This Row],[Customer_ID]],customers[Customer_ID],customers[Customer_Name])</f>
        <v>Ramesh_67</v>
      </c>
      <c r="M129" t="str">
        <f>IF(sales[[#This Row],[Total_Amount]]&gt;=50000,"High Sales","Low Sales")</f>
        <v>Low Sales</v>
      </c>
      <c r="N129">
        <f>sales[[#This Row],[Total_Amount]]/sales[[#This Row],[Quantity]]</f>
        <v>6347.84</v>
      </c>
    </row>
    <row r="130" spans="1:14" x14ac:dyDescent="0.3">
      <c r="A130" t="s">
        <v>749</v>
      </c>
      <c r="B130">
        <v>1083</v>
      </c>
      <c r="C130" t="s">
        <v>84</v>
      </c>
      <c r="D130" t="s">
        <v>62</v>
      </c>
      <c r="E130" t="s">
        <v>750</v>
      </c>
      <c r="F130">
        <v>1</v>
      </c>
      <c r="G130">
        <v>77623.25</v>
      </c>
      <c r="H130" t="s">
        <v>522</v>
      </c>
      <c r="I130">
        <v>2025</v>
      </c>
      <c r="J130" t="str">
        <f>_xlfn.XLOOKUP(sales[[#This Row],[Product_ID]],products[Product_ID],products[Product_Name])</f>
        <v>Headphones 7</v>
      </c>
      <c r="K130" t="str">
        <f>_xlfn.XLOOKUP(sales[[#This Row],[Store_ID]],stores[Store_ID],stores[Store_Name])</f>
        <v>Pune Store</v>
      </c>
      <c r="L130" t="str">
        <f>_xlfn.XLOOKUP(sales[[#This Row],[Customer_ID]],customers[Customer_ID],customers[Customer_Name])</f>
        <v>Sita_83</v>
      </c>
      <c r="M130" t="str">
        <f>IF(sales[[#This Row],[Total_Amount]]&gt;=50000,"High Sales","Low Sales")</f>
        <v>High Sales</v>
      </c>
      <c r="N130">
        <f>sales[[#This Row],[Total_Amount]]/sales[[#This Row],[Quantity]]</f>
        <v>77623.25</v>
      </c>
    </row>
    <row r="131" spans="1:14" x14ac:dyDescent="0.3">
      <c r="A131" t="s">
        <v>751</v>
      </c>
      <c r="B131">
        <v>1092</v>
      </c>
      <c r="C131" t="s">
        <v>90</v>
      </c>
      <c r="D131" t="s">
        <v>46</v>
      </c>
      <c r="E131" t="s">
        <v>752</v>
      </c>
      <c r="F131">
        <v>1</v>
      </c>
      <c r="G131">
        <v>99613.93</v>
      </c>
      <c r="H131" t="s">
        <v>545</v>
      </c>
      <c r="I131">
        <v>2025</v>
      </c>
      <c r="J131" t="str">
        <f>_xlfn.XLOOKUP(sales[[#This Row],[Product_ID]],products[Product_ID],products[Product_Name])</f>
        <v>Camera 10</v>
      </c>
      <c r="K131" t="str">
        <f>_xlfn.XLOOKUP(sales[[#This Row],[Store_ID]],stores[Store_ID],stores[Store_Name])</f>
        <v>Vijayawada Store</v>
      </c>
      <c r="L131" t="str">
        <f>_xlfn.XLOOKUP(sales[[#This Row],[Customer_ID]],customers[Customer_ID],customers[Customer_Name])</f>
        <v>Priya_92</v>
      </c>
      <c r="M131" t="str">
        <f>IF(sales[[#This Row],[Total_Amount]]&gt;=50000,"High Sales","Low Sales")</f>
        <v>High Sales</v>
      </c>
      <c r="N131">
        <f>sales[[#This Row],[Total_Amount]]/sales[[#This Row],[Quantity]]</f>
        <v>99613.93</v>
      </c>
    </row>
    <row r="132" spans="1:14" x14ac:dyDescent="0.3">
      <c r="A132" t="s">
        <v>753</v>
      </c>
      <c r="B132">
        <v>1002</v>
      </c>
      <c r="C132" t="s">
        <v>81</v>
      </c>
      <c r="D132" t="s">
        <v>57</v>
      </c>
      <c r="E132" t="s">
        <v>148</v>
      </c>
      <c r="F132">
        <v>3</v>
      </c>
      <c r="G132">
        <v>44577.39</v>
      </c>
      <c r="H132" t="s">
        <v>531</v>
      </c>
      <c r="I132">
        <v>2025</v>
      </c>
      <c r="J132" t="str">
        <f>_xlfn.XLOOKUP(sales[[#This Row],[Product_ID]],products[Product_ID],products[Product_Name])</f>
        <v>Camera 6</v>
      </c>
      <c r="K132" t="str">
        <f>_xlfn.XLOOKUP(sales[[#This Row],[Store_ID]],stores[Store_ID],stores[Store_Name])</f>
        <v>Bengaluru Store</v>
      </c>
      <c r="L132" t="str">
        <f>_xlfn.XLOOKUP(sales[[#This Row],[Customer_ID]],customers[Customer_ID],customers[Customer_Name])</f>
        <v>Ramesh_2</v>
      </c>
      <c r="M132" t="str">
        <f>IF(sales[[#This Row],[Total_Amount]]&gt;=50000,"High Sales","Low Sales")</f>
        <v>Low Sales</v>
      </c>
      <c r="N132">
        <f>sales[[#This Row],[Total_Amount]]/sales[[#This Row],[Quantity]]</f>
        <v>14859.13</v>
      </c>
    </row>
    <row r="133" spans="1:14" x14ac:dyDescent="0.3">
      <c r="A133" t="s">
        <v>754</v>
      </c>
      <c r="B133">
        <v>1182</v>
      </c>
      <c r="C133" t="s">
        <v>112</v>
      </c>
      <c r="D133" t="s">
        <v>50</v>
      </c>
      <c r="E133" t="s">
        <v>755</v>
      </c>
      <c r="F133">
        <v>2</v>
      </c>
      <c r="G133">
        <v>74090.38</v>
      </c>
      <c r="H133" t="s">
        <v>531</v>
      </c>
      <c r="I133">
        <v>2026</v>
      </c>
      <c r="J133" t="str">
        <f>_xlfn.XLOOKUP(sales[[#This Row],[Product_ID]],products[Product_ID],products[Product_Name])</f>
        <v>Monitor 21</v>
      </c>
      <c r="K133" t="str">
        <f>_xlfn.XLOOKUP(sales[[#This Row],[Store_ID]],stores[Store_ID],stores[Store_Name])</f>
        <v>Guntur Store</v>
      </c>
      <c r="L133" t="str">
        <f>_xlfn.XLOOKUP(sales[[#This Row],[Customer_ID]],customers[Customer_ID],customers[Customer_Name])</f>
        <v>Keerthi_182</v>
      </c>
      <c r="M133" t="str">
        <f>IF(sales[[#This Row],[Total_Amount]]&gt;=50000,"High Sales","Low Sales")</f>
        <v>High Sales</v>
      </c>
      <c r="N133">
        <f>sales[[#This Row],[Total_Amount]]/sales[[#This Row],[Quantity]]</f>
        <v>37045.19</v>
      </c>
    </row>
    <row r="134" spans="1:14" x14ac:dyDescent="0.3">
      <c r="A134" t="s">
        <v>756</v>
      </c>
      <c r="B134">
        <v>1168</v>
      </c>
      <c r="C134" t="s">
        <v>126</v>
      </c>
      <c r="D134" t="s">
        <v>59</v>
      </c>
      <c r="E134" t="s">
        <v>757</v>
      </c>
      <c r="F134">
        <v>4</v>
      </c>
      <c r="G134">
        <v>127156</v>
      </c>
      <c r="H134" t="s">
        <v>531</v>
      </c>
      <c r="I134">
        <v>2026</v>
      </c>
      <c r="J134" t="str">
        <f>_xlfn.XLOOKUP(sales[[#This Row],[Product_ID]],products[Product_ID],products[Product_Name])</f>
        <v>Router 28</v>
      </c>
      <c r="K134" t="str">
        <f>_xlfn.XLOOKUP(sales[[#This Row],[Store_ID]],stores[Store_ID],stores[Store_Name])</f>
        <v>Chennai Store</v>
      </c>
      <c r="L134" t="str">
        <f>_xlfn.XLOOKUP(sales[[#This Row],[Customer_ID]],customers[Customer_ID],customers[Customer_Name])</f>
        <v>Ramesh_168</v>
      </c>
      <c r="M134" t="str">
        <f>IF(sales[[#This Row],[Total_Amount]]&gt;=50000,"High Sales","Low Sales")</f>
        <v>High Sales</v>
      </c>
      <c r="N134">
        <f>sales[[#This Row],[Total_Amount]]/sales[[#This Row],[Quantity]]</f>
        <v>31789</v>
      </c>
    </row>
    <row r="135" spans="1:14" x14ac:dyDescent="0.3">
      <c r="A135" t="s">
        <v>758</v>
      </c>
      <c r="B135">
        <v>1077</v>
      </c>
      <c r="C135" t="s">
        <v>110</v>
      </c>
      <c r="D135" t="s">
        <v>53</v>
      </c>
      <c r="E135" t="s">
        <v>579</v>
      </c>
      <c r="F135">
        <v>1</v>
      </c>
      <c r="G135">
        <v>103915.24</v>
      </c>
      <c r="H135" t="s">
        <v>531</v>
      </c>
      <c r="I135">
        <v>2026</v>
      </c>
      <c r="J135" t="str">
        <f>_xlfn.XLOOKUP(sales[[#This Row],[Product_ID]],products[Product_ID],products[Product_Name])</f>
        <v>Keyboard 20</v>
      </c>
      <c r="K135" t="str">
        <f>_xlfn.XLOOKUP(sales[[#This Row],[Store_ID]],stores[Store_ID],stores[Store_Name])</f>
        <v>Warangal Store</v>
      </c>
      <c r="L135" t="str">
        <f>_xlfn.XLOOKUP(sales[[#This Row],[Customer_ID]],customers[Customer_ID],customers[Customer_Name])</f>
        <v>Sneha_77</v>
      </c>
      <c r="M135" t="str">
        <f>IF(sales[[#This Row],[Total_Amount]]&gt;=50000,"High Sales","Low Sales")</f>
        <v>High Sales</v>
      </c>
      <c r="N135">
        <f>sales[[#This Row],[Total_Amount]]/sales[[#This Row],[Quantity]]</f>
        <v>103915.24</v>
      </c>
    </row>
    <row r="136" spans="1:14" x14ac:dyDescent="0.3">
      <c r="A136" t="s">
        <v>759</v>
      </c>
      <c r="B136">
        <v>1120</v>
      </c>
      <c r="C136" t="s">
        <v>94</v>
      </c>
      <c r="D136" t="s">
        <v>48</v>
      </c>
      <c r="E136" t="s">
        <v>760</v>
      </c>
      <c r="F136">
        <v>5</v>
      </c>
      <c r="G136">
        <v>12081.1</v>
      </c>
      <c r="H136" t="s">
        <v>575</v>
      </c>
      <c r="I136">
        <v>2026</v>
      </c>
      <c r="J136" t="str">
        <f>_xlfn.XLOOKUP(sales[[#This Row],[Product_ID]],products[Product_ID],products[Product_Name])</f>
        <v>Mouse 12</v>
      </c>
      <c r="K136" t="str">
        <f>_xlfn.XLOOKUP(sales[[#This Row],[Store_ID]],stores[Store_ID],stores[Store_Name])</f>
        <v>Visakhapatnam Store</v>
      </c>
      <c r="L136" t="str">
        <f>_xlfn.XLOOKUP(sales[[#This Row],[Customer_ID]],customers[Customer_ID],customers[Customer_Name])</f>
        <v>Pooja_120</v>
      </c>
      <c r="M136" t="str">
        <f>IF(sales[[#This Row],[Total_Amount]]&gt;=50000,"High Sales","Low Sales")</f>
        <v>Low Sales</v>
      </c>
      <c r="N136">
        <f>sales[[#This Row],[Total_Amount]]/sales[[#This Row],[Quantity]]</f>
        <v>2416.2200000000003</v>
      </c>
    </row>
    <row r="137" spans="1:14" x14ac:dyDescent="0.3">
      <c r="A137" t="s">
        <v>761</v>
      </c>
      <c r="B137">
        <v>1134</v>
      </c>
      <c r="C137" t="s">
        <v>75</v>
      </c>
      <c r="D137" t="s">
        <v>48</v>
      </c>
      <c r="E137" t="s">
        <v>762</v>
      </c>
      <c r="F137">
        <v>1</v>
      </c>
      <c r="G137">
        <v>111945.42</v>
      </c>
      <c r="H137" t="s">
        <v>558</v>
      </c>
      <c r="I137">
        <v>2026</v>
      </c>
      <c r="J137" t="str">
        <f>_xlfn.XLOOKUP(sales[[#This Row],[Product_ID]],products[Product_ID],products[Product_Name])</f>
        <v>Smart Watch 3</v>
      </c>
      <c r="K137" t="str">
        <f>_xlfn.XLOOKUP(sales[[#This Row],[Store_ID]],stores[Store_ID],stores[Store_Name])</f>
        <v>Visakhapatnam Store</v>
      </c>
      <c r="L137" t="str">
        <f>_xlfn.XLOOKUP(sales[[#This Row],[Customer_ID]],customers[Customer_ID],customers[Customer_Name])</f>
        <v>Vikram_134</v>
      </c>
      <c r="M137" t="str">
        <f>IF(sales[[#This Row],[Total_Amount]]&gt;=50000,"High Sales","Low Sales")</f>
        <v>High Sales</v>
      </c>
      <c r="N137">
        <f>sales[[#This Row],[Total_Amount]]/sales[[#This Row],[Quantity]]</f>
        <v>111945.42</v>
      </c>
    </row>
    <row r="138" spans="1:14" x14ac:dyDescent="0.3">
      <c r="A138" t="s">
        <v>763</v>
      </c>
      <c r="B138">
        <v>1132</v>
      </c>
      <c r="C138" t="s">
        <v>77</v>
      </c>
      <c r="D138" t="s">
        <v>53</v>
      </c>
      <c r="E138" t="s">
        <v>764</v>
      </c>
      <c r="F138">
        <v>5</v>
      </c>
      <c r="G138">
        <v>212384.45</v>
      </c>
      <c r="H138" t="s">
        <v>545</v>
      </c>
      <c r="I138">
        <v>2025</v>
      </c>
      <c r="J138" t="str">
        <f>_xlfn.XLOOKUP(sales[[#This Row],[Product_ID]],products[Product_ID],products[Product_Name])</f>
        <v>Monitor 4</v>
      </c>
      <c r="K138" t="str">
        <f>_xlfn.XLOOKUP(sales[[#This Row],[Store_ID]],stores[Store_ID],stores[Store_Name])</f>
        <v>Warangal Store</v>
      </c>
      <c r="L138" t="str">
        <f>_xlfn.XLOOKUP(sales[[#This Row],[Customer_ID]],customers[Customer_ID],customers[Customer_Name])</f>
        <v>Pooja_132</v>
      </c>
      <c r="M138" t="str">
        <f>IF(sales[[#This Row],[Total_Amount]]&gt;=50000,"High Sales","Low Sales")</f>
        <v>High Sales</v>
      </c>
      <c r="N138">
        <f>sales[[#This Row],[Total_Amount]]/sales[[#This Row],[Quantity]]</f>
        <v>42476.89</v>
      </c>
    </row>
    <row r="139" spans="1:14" x14ac:dyDescent="0.3">
      <c r="A139" t="s">
        <v>765</v>
      </c>
      <c r="B139">
        <v>1133</v>
      </c>
      <c r="C139" t="s">
        <v>98</v>
      </c>
      <c r="D139" t="s">
        <v>46</v>
      </c>
      <c r="E139" t="s">
        <v>542</v>
      </c>
      <c r="F139">
        <v>4</v>
      </c>
      <c r="G139">
        <v>292231.15999999997</v>
      </c>
      <c r="H139" t="s">
        <v>525</v>
      </c>
      <c r="I139">
        <v>2026</v>
      </c>
      <c r="J139" t="str">
        <f>_xlfn.XLOOKUP(sales[[#This Row],[Product_ID]],products[Product_ID],products[Product_Name])</f>
        <v>Camera 14</v>
      </c>
      <c r="K139" t="str">
        <f>_xlfn.XLOOKUP(sales[[#This Row],[Store_ID]],stores[Store_ID],stores[Store_Name])</f>
        <v>Vijayawada Store</v>
      </c>
      <c r="L139" t="str">
        <f>_xlfn.XLOOKUP(sales[[#This Row],[Customer_ID]],customers[Customer_ID],customers[Customer_Name])</f>
        <v>Akhil_133</v>
      </c>
      <c r="M139" t="str">
        <f>IF(sales[[#This Row],[Total_Amount]]&gt;=50000,"High Sales","Low Sales")</f>
        <v>High Sales</v>
      </c>
      <c r="N139">
        <f>sales[[#This Row],[Total_Amount]]/sales[[#This Row],[Quantity]]</f>
        <v>73057.789999999994</v>
      </c>
    </row>
    <row r="140" spans="1:14" x14ac:dyDescent="0.3">
      <c r="A140" t="s">
        <v>766</v>
      </c>
      <c r="B140">
        <v>1059</v>
      </c>
      <c r="C140" t="s">
        <v>90</v>
      </c>
      <c r="D140" t="s">
        <v>57</v>
      </c>
      <c r="E140" t="s">
        <v>767</v>
      </c>
      <c r="F140">
        <v>3</v>
      </c>
      <c r="G140">
        <v>125457.36</v>
      </c>
      <c r="H140" t="s">
        <v>525</v>
      </c>
      <c r="I140">
        <v>2026</v>
      </c>
      <c r="J140" t="str">
        <f>_xlfn.XLOOKUP(sales[[#This Row],[Product_ID]],products[Product_ID],products[Product_Name])</f>
        <v>Camera 10</v>
      </c>
      <c r="K140" t="str">
        <f>_xlfn.XLOOKUP(sales[[#This Row],[Store_ID]],stores[Store_ID],stores[Store_Name])</f>
        <v>Bengaluru Store</v>
      </c>
      <c r="L140" t="str">
        <f>_xlfn.XLOOKUP(sales[[#This Row],[Customer_ID]],customers[Customer_ID],customers[Customer_Name])</f>
        <v>Ravi_59</v>
      </c>
      <c r="M140" t="str">
        <f>IF(sales[[#This Row],[Total_Amount]]&gt;=50000,"High Sales","Low Sales")</f>
        <v>High Sales</v>
      </c>
      <c r="N140">
        <f>sales[[#This Row],[Total_Amount]]/sales[[#This Row],[Quantity]]</f>
        <v>41819.120000000003</v>
      </c>
    </row>
    <row r="141" spans="1:14" x14ac:dyDescent="0.3">
      <c r="A141" t="s">
        <v>768</v>
      </c>
      <c r="B141">
        <v>1182</v>
      </c>
      <c r="C141" t="s">
        <v>120</v>
      </c>
      <c r="D141" t="s">
        <v>59</v>
      </c>
      <c r="E141" t="s">
        <v>769</v>
      </c>
      <c r="F141">
        <v>5</v>
      </c>
      <c r="G141">
        <v>34176.6</v>
      </c>
      <c r="H141" t="s">
        <v>545</v>
      </c>
      <c r="I141">
        <v>2026</v>
      </c>
      <c r="J141" t="str">
        <f>_xlfn.XLOOKUP(sales[[#This Row],[Product_ID]],products[Product_ID],products[Product_Name])</f>
        <v>Printer 25</v>
      </c>
      <c r="K141" t="str">
        <f>_xlfn.XLOOKUP(sales[[#This Row],[Store_ID]],stores[Store_ID],stores[Store_Name])</f>
        <v>Chennai Store</v>
      </c>
      <c r="L141" t="str">
        <f>_xlfn.XLOOKUP(sales[[#This Row],[Customer_ID]],customers[Customer_ID],customers[Customer_Name])</f>
        <v>Keerthi_182</v>
      </c>
      <c r="M141" t="str">
        <f>IF(sales[[#This Row],[Total_Amount]]&gt;=50000,"High Sales","Low Sales")</f>
        <v>Low Sales</v>
      </c>
      <c r="N141">
        <f>sales[[#This Row],[Total_Amount]]/sales[[#This Row],[Quantity]]</f>
        <v>6835.32</v>
      </c>
    </row>
    <row r="142" spans="1:14" x14ac:dyDescent="0.3">
      <c r="A142" t="s">
        <v>770</v>
      </c>
      <c r="B142">
        <v>1162</v>
      </c>
      <c r="C142" t="s">
        <v>92</v>
      </c>
      <c r="D142" t="s">
        <v>57</v>
      </c>
      <c r="E142" t="s">
        <v>641</v>
      </c>
      <c r="F142">
        <v>4</v>
      </c>
      <c r="G142">
        <v>80183.12</v>
      </c>
      <c r="H142" t="s">
        <v>572</v>
      </c>
      <c r="I142">
        <v>2025</v>
      </c>
      <c r="J142" t="str">
        <f>_xlfn.XLOOKUP(sales[[#This Row],[Product_ID]],products[Product_ID],products[Product_Name])</f>
        <v>Smartphone 11</v>
      </c>
      <c r="K142" t="str">
        <f>_xlfn.XLOOKUP(sales[[#This Row],[Store_ID]],stores[Store_ID],stores[Store_Name])</f>
        <v>Bengaluru Store</v>
      </c>
      <c r="L142" t="str">
        <f>_xlfn.XLOOKUP(sales[[#This Row],[Customer_ID]],customers[Customer_ID],customers[Customer_Name])</f>
        <v>Vikram_162</v>
      </c>
      <c r="M142" t="str">
        <f>IF(sales[[#This Row],[Total_Amount]]&gt;=50000,"High Sales","Low Sales")</f>
        <v>High Sales</v>
      </c>
      <c r="N142">
        <f>sales[[#This Row],[Total_Amount]]/sales[[#This Row],[Quantity]]</f>
        <v>20045.78</v>
      </c>
    </row>
    <row r="143" spans="1:14" x14ac:dyDescent="0.3">
      <c r="A143" t="s">
        <v>771</v>
      </c>
      <c r="B143">
        <v>1090</v>
      </c>
      <c r="C143" t="s">
        <v>116</v>
      </c>
      <c r="D143" t="s">
        <v>59</v>
      </c>
      <c r="E143" t="s">
        <v>352</v>
      </c>
      <c r="F143">
        <v>1</v>
      </c>
      <c r="G143">
        <v>92092.13</v>
      </c>
      <c r="H143" t="s">
        <v>558</v>
      </c>
      <c r="I143">
        <v>2025</v>
      </c>
      <c r="J143" t="str">
        <f>_xlfn.XLOOKUP(sales[[#This Row],[Product_ID]],products[Product_ID],products[Product_Name])</f>
        <v>Microwave 23</v>
      </c>
      <c r="K143" t="str">
        <f>_xlfn.XLOOKUP(sales[[#This Row],[Store_ID]],stores[Store_ID],stores[Store_Name])</f>
        <v>Chennai Store</v>
      </c>
      <c r="L143" t="str">
        <f>_xlfn.XLOOKUP(sales[[#This Row],[Customer_ID]],customers[Customer_ID],customers[Customer_Name])</f>
        <v>Sita_90</v>
      </c>
      <c r="M143" t="str">
        <f>IF(sales[[#This Row],[Total_Amount]]&gt;=50000,"High Sales","Low Sales")</f>
        <v>High Sales</v>
      </c>
      <c r="N143">
        <f>sales[[#This Row],[Total_Amount]]/sales[[#This Row],[Quantity]]</f>
        <v>92092.13</v>
      </c>
    </row>
    <row r="144" spans="1:14" x14ac:dyDescent="0.3">
      <c r="A144" t="s">
        <v>772</v>
      </c>
      <c r="B144">
        <v>1068</v>
      </c>
      <c r="C144" t="s">
        <v>118</v>
      </c>
      <c r="D144" t="s">
        <v>57</v>
      </c>
      <c r="E144" t="s">
        <v>152</v>
      </c>
      <c r="F144">
        <v>1</v>
      </c>
      <c r="G144">
        <v>49873.8</v>
      </c>
      <c r="H144" t="s">
        <v>531</v>
      </c>
      <c r="I144">
        <v>2025</v>
      </c>
      <c r="J144" t="str">
        <f>_xlfn.XLOOKUP(sales[[#This Row],[Product_ID]],products[Product_ID],products[Product_Name])</f>
        <v>Tablet 24</v>
      </c>
      <c r="K144" t="str">
        <f>_xlfn.XLOOKUP(sales[[#This Row],[Store_ID]],stores[Store_ID],stores[Store_Name])</f>
        <v>Bengaluru Store</v>
      </c>
      <c r="L144" t="str">
        <f>_xlfn.XLOOKUP(sales[[#This Row],[Customer_ID]],customers[Customer_ID],customers[Customer_Name])</f>
        <v>Nikhil_68</v>
      </c>
      <c r="M144" t="str">
        <f>IF(sales[[#This Row],[Total_Amount]]&gt;=50000,"High Sales","Low Sales")</f>
        <v>Low Sales</v>
      </c>
      <c r="N144">
        <f>sales[[#This Row],[Total_Amount]]/sales[[#This Row],[Quantity]]</f>
        <v>49873.8</v>
      </c>
    </row>
    <row r="145" spans="1:14" x14ac:dyDescent="0.3">
      <c r="A145" t="s">
        <v>773</v>
      </c>
      <c r="B145">
        <v>1014</v>
      </c>
      <c r="C145" t="s">
        <v>72</v>
      </c>
      <c r="D145" t="s">
        <v>62</v>
      </c>
      <c r="E145" t="s">
        <v>774</v>
      </c>
      <c r="F145">
        <v>4</v>
      </c>
      <c r="G145">
        <v>80306.8</v>
      </c>
      <c r="H145" t="s">
        <v>537</v>
      </c>
      <c r="I145">
        <v>2026</v>
      </c>
      <c r="J145" t="str">
        <f>_xlfn.XLOOKUP(sales[[#This Row],[Product_ID]],products[Product_ID],products[Product_Name])</f>
        <v>Headphones 2</v>
      </c>
      <c r="K145" t="str">
        <f>_xlfn.XLOOKUP(sales[[#This Row],[Store_ID]],stores[Store_ID],stores[Store_Name])</f>
        <v>Pune Store</v>
      </c>
      <c r="L145" t="str">
        <f>_xlfn.XLOOKUP(sales[[#This Row],[Customer_ID]],customers[Customer_ID],customers[Customer_Name])</f>
        <v>Arjun_14</v>
      </c>
      <c r="M145" t="str">
        <f>IF(sales[[#This Row],[Total_Amount]]&gt;=50000,"High Sales","Low Sales")</f>
        <v>High Sales</v>
      </c>
      <c r="N145">
        <f>sales[[#This Row],[Total_Amount]]/sales[[#This Row],[Quantity]]</f>
        <v>20076.7</v>
      </c>
    </row>
    <row r="146" spans="1:14" x14ac:dyDescent="0.3">
      <c r="A146" t="s">
        <v>775</v>
      </c>
      <c r="B146">
        <v>1005</v>
      </c>
      <c r="C146" t="s">
        <v>120</v>
      </c>
      <c r="D146" t="s">
        <v>42</v>
      </c>
      <c r="E146" t="s">
        <v>776</v>
      </c>
      <c r="F146">
        <v>5</v>
      </c>
      <c r="G146">
        <v>357131.55</v>
      </c>
      <c r="H146" t="s">
        <v>531</v>
      </c>
      <c r="I146">
        <v>2025</v>
      </c>
      <c r="J146" t="str">
        <f>_xlfn.XLOOKUP(sales[[#This Row],[Product_ID]],products[Product_ID],products[Product_Name])</f>
        <v>Printer 25</v>
      </c>
      <c r="K146" t="str">
        <f>_xlfn.XLOOKUP(sales[[#This Row],[Store_ID]],stores[Store_ID],stores[Store_Name])</f>
        <v>Hyderabad Store</v>
      </c>
      <c r="L146" t="str">
        <f>_xlfn.XLOOKUP(sales[[#This Row],[Customer_ID]],customers[Customer_ID],customers[Customer_Name])</f>
        <v>Rahul_5</v>
      </c>
      <c r="M146" t="str">
        <f>IF(sales[[#This Row],[Total_Amount]]&gt;=50000,"High Sales","Low Sales")</f>
        <v>High Sales</v>
      </c>
      <c r="N146">
        <f>sales[[#This Row],[Total_Amount]]/sales[[#This Row],[Quantity]]</f>
        <v>71426.31</v>
      </c>
    </row>
    <row r="147" spans="1:14" x14ac:dyDescent="0.3">
      <c r="A147" t="s">
        <v>777</v>
      </c>
      <c r="B147">
        <v>1176</v>
      </c>
      <c r="C147" t="s">
        <v>110</v>
      </c>
      <c r="D147" t="s">
        <v>48</v>
      </c>
      <c r="E147" t="s">
        <v>778</v>
      </c>
      <c r="F147">
        <v>3</v>
      </c>
      <c r="G147">
        <v>346359.48</v>
      </c>
      <c r="H147" t="s">
        <v>534</v>
      </c>
      <c r="I147">
        <v>2025</v>
      </c>
      <c r="J147" t="str">
        <f>_xlfn.XLOOKUP(sales[[#This Row],[Product_ID]],products[Product_ID],products[Product_Name])</f>
        <v>Keyboard 20</v>
      </c>
      <c r="K147" t="str">
        <f>_xlfn.XLOOKUP(sales[[#This Row],[Store_ID]],stores[Store_ID],stores[Store_Name])</f>
        <v>Visakhapatnam Store</v>
      </c>
      <c r="L147" t="str">
        <f>_xlfn.XLOOKUP(sales[[#This Row],[Customer_ID]],customers[Customer_ID],customers[Customer_Name])</f>
        <v>Vikram_176</v>
      </c>
      <c r="M147" t="str">
        <f>IF(sales[[#This Row],[Total_Amount]]&gt;=50000,"High Sales","Low Sales")</f>
        <v>High Sales</v>
      </c>
      <c r="N147">
        <f>sales[[#This Row],[Total_Amount]]/sales[[#This Row],[Quantity]]</f>
        <v>115453.15999999999</v>
      </c>
    </row>
    <row r="148" spans="1:14" x14ac:dyDescent="0.3">
      <c r="A148" t="s">
        <v>779</v>
      </c>
      <c r="B148">
        <v>1015</v>
      </c>
      <c r="C148" t="s">
        <v>75</v>
      </c>
      <c r="D148" t="s">
        <v>59</v>
      </c>
      <c r="E148" t="s">
        <v>780</v>
      </c>
      <c r="F148">
        <v>2</v>
      </c>
      <c r="G148">
        <v>146836.1</v>
      </c>
      <c r="H148" t="s">
        <v>531</v>
      </c>
      <c r="I148">
        <v>2025</v>
      </c>
      <c r="J148" t="str">
        <f>_xlfn.XLOOKUP(sales[[#This Row],[Product_ID]],products[Product_ID],products[Product_Name])</f>
        <v>Smart Watch 3</v>
      </c>
      <c r="K148" t="str">
        <f>_xlfn.XLOOKUP(sales[[#This Row],[Store_ID]],stores[Store_ID],stores[Store_Name])</f>
        <v>Chennai Store</v>
      </c>
      <c r="L148" t="str">
        <f>_xlfn.XLOOKUP(sales[[#This Row],[Customer_ID]],customers[Customer_ID],customers[Customer_Name])</f>
        <v>Keerthi_15</v>
      </c>
      <c r="M148" t="str">
        <f>IF(sales[[#This Row],[Total_Amount]]&gt;=50000,"High Sales","Low Sales")</f>
        <v>High Sales</v>
      </c>
      <c r="N148">
        <f>sales[[#This Row],[Total_Amount]]/sales[[#This Row],[Quantity]]</f>
        <v>73418.05</v>
      </c>
    </row>
    <row r="149" spans="1:14" x14ac:dyDescent="0.3">
      <c r="A149" t="s">
        <v>781</v>
      </c>
      <c r="B149">
        <v>1108</v>
      </c>
      <c r="C149" t="s">
        <v>96</v>
      </c>
      <c r="D149" t="s">
        <v>50</v>
      </c>
      <c r="E149" t="s">
        <v>782</v>
      </c>
      <c r="F149">
        <v>1</v>
      </c>
      <c r="G149">
        <v>19353.060000000001</v>
      </c>
      <c r="H149" t="s">
        <v>572</v>
      </c>
      <c r="I149">
        <v>2025</v>
      </c>
      <c r="J149" t="str">
        <f>_xlfn.XLOOKUP(sales[[#This Row],[Product_ID]],products[Product_ID],products[Product_Name])</f>
        <v>Printer 13</v>
      </c>
      <c r="K149" t="str">
        <f>_xlfn.XLOOKUP(sales[[#This Row],[Store_ID]],stores[Store_ID],stores[Store_Name])</f>
        <v>Guntur Store</v>
      </c>
      <c r="L149" t="str">
        <f>_xlfn.XLOOKUP(sales[[#This Row],[Customer_ID]],customers[Customer_ID],customers[Customer_Name])</f>
        <v>Priya_108</v>
      </c>
      <c r="M149" t="str">
        <f>IF(sales[[#This Row],[Total_Amount]]&gt;=50000,"High Sales","Low Sales")</f>
        <v>Low Sales</v>
      </c>
      <c r="N149">
        <f>sales[[#This Row],[Total_Amount]]/sales[[#This Row],[Quantity]]</f>
        <v>19353.060000000001</v>
      </c>
    </row>
    <row r="150" spans="1:14" x14ac:dyDescent="0.3">
      <c r="A150" t="s">
        <v>783</v>
      </c>
      <c r="B150">
        <v>1088</v>
      </c>
      <c r="C150" t="s">
        <v>120</v>
      </c>
      <c r="D150" t="s">
        <v>57</v>
      </c>
      <c r="E150" t="s">
        <v>784</v>
      </c>
      <c r="F150">
        <v>2</v>
      </c>
      <c r="G150">
        <v>156256.46</v>
      </c>
      <c r="H150" t="s">
        <v>561</v>
      </c>
      <c r="I150">
        <v>2025</v>
      </c>
      <c r="J150" t="str">
        <f>_xlfn.XLOOKUP(sales[[#This Row],[Product_ID]],products[Product_ID],products[Product_Name])</f>
        <v>Printer 25</v>
      </c>
      <c r="K150" t="str">
        <f>_xlfn.XLOOKUP(sales[[#This Row],[Store_ID]],stores[Store_ID],stores[Store_Name])</f>
        <v>Bengaluru Store</v>
      </c>
      <c r="L150" t="str">
        <f>_xlfn.XLOOKUP(sales[[#This Row],[Customer_ID]],customers[Customer_ID],customers[Customer_Name])</f>
        <v>Anjali_88</v>
      </c>
      <c r="M150" t="str">
        <f>IF(sales[[#This Row],[Total_Amount]]&gt;=50000,"High Sales","Low Sales")</f>
        <v>High Sales</v>
      </c>
      <c r="N150">
        <f>sales[[#This Row],[Total_Amount]]/sales[[#This Row],[Quantity]]</f>
        <v>78128.23</v>
      </c>
    </row>
    <row r="151" spans="1:14" x14ac:dyDescent="0.3">
      <c r="A151" t="s">
        <v>785</v>
      </c>
      <c r="B151">
        <v>1154</v>
      </c>
      <c r="C151" t="s">
        <v>96</v>
      </c>
      <c r="D151" t="s">
        <v>42</v>
      </c>
      <c r="E151" t="s">
        <v>786</v>
      </c>
      <c r="F151">
        <v>3</v>
      </c>
      <c r="G151">
        <v>68507.37</v>
      </c>
      <c r="H151" t="s">
        <v>575</v>
      </c>
      <c r="I151">
        <v>2026</v>
      </c>
      <c r="J151" t="str">
        <f>_xlfn.XLOOKUP(sales[[#This Row],[Product_ID]],products[Product_ID],products[Product_Name])</f>
        <v>Printer 13</v>
      </c>
      <c r="K151" t="str">
        <f>_xlfn.XLOOKUP(sales[[#This Row],[Store_ID]],stores[Store_ID],stores[Store_Name])</f>
        <v>Hyderabad Store</v>
      </c>
      <c r="L151" t="str">
        <f>_xlfn.XLOOKUP(sales[[#This Row],[Customer_ID]],customers[Customer_ID],customers[Customer_Name])</f>
        <v>Priya_154</v>
      </c>
      <c r="M151" t="str">
        <f>IF(sales[[#This Row],[Total_Amount]]&gt;=50000,"High Sales","Low Sales")</f>
        <v>High Sales</v>
      </c>
      <c r="N151">
        <f>sales[[#This Row],[Total_Amount]]/sales[[#This Row],[Quantity]]</f>
        <v>22835.789999999997</v>
      </c>
    </row>
    <row r="152" spans="1:14" x14ac:dyDescent="0.3">
      <c r="A152" t="s">
        <v>787</v>
      </c>
      <c r="B152">
        <v>1072</v>
      </c>
      <c r="C152" t="s">
        <v>124</v>
      </c>
      <c r="D152" t="s">
        <v>50</v>
      </c>
      <c r="E152" t="s">
        <v>508</v>
      </c>
      <c r="F152">
        <v>5</v>
      </c>
      <c r="G152">
        <v>500307.65</v>
      </c>
      <c r="H152" t="s">
        <v>522</v>
      </c>
      <c r="I152">
        <v>2025</v>
      </c>
      <c r="J152" t="str">
        <f>_xlfn.XLOOKUP(sales[[#This Row],[Product_ID]],products[Product_ID],products[Product_Name])</f>
        <v>Mixer 27</v>
      </c>
      <c r="K152" t="str">
        <f>_xlfn.XLOOKUP(sales[[#This Row],[Store_ID]],stores[Store_ID],stores[Store_Name])</f>
        <v>Guntur Store</v>
      </c>
      <c r="L152" t="str">
        <f>_xlfn.XLOOKUP(sales[[#This Row],[Customer_ID]],customers[Customer_ID],customers[Customer_Name])</f>
        <v>Sita_72</v>
      </c>
      <c r="M152" t="str">
        <f>IF(sales[[#This Row],[Total_Amount]]&gt;=50000,"High Sales","Low Sales")</f>
        <v>High Sales</v>
      </c>
      <c r="N152">
        <f>sales[[#This Row],[Total_Amount]]/sales[[#This Row],[Quantity]]</f>
        <v>100061.53</v>
      </c>
    </row>
    <row r="153" spans="1:14" x14ac:dyDescent="0.3">
      <c r="A153" t="s">
        <v>788</v>
      </c>
      <c r="B153">
        <v>1060</v>
      </c>
      <c r="C153" t="s">
        <v>108</v>
      </c>
      <c r="D153" t="s">
        <v>50</v>
      </c>
      <c r="E153" t="s">
        <v>789</v>
      </c>
      <c r="F153">
        <v>5</v>
      </c>
      <c r="G153">
        <v>10653.4</v>
      </c>
      <c r="H153" t="s">
        <v>575</v>
      </c>
      <c r="I153">
        <v>2026</v>
      </c>
      <c r="J153" t="str">
        <f>_xlfn.XLOOKUP(sales[[#This Row],[Product_ID]],products[Product_ID],products[Product_Name])</f>
        <v>Mouse 19</v>
      </c>
      <c r="K153" t="str">
        <f>_xlfn.XLOOKUP(sales[[#This Row],[Store_ID]],stores[Store_ID],stores[Store_Name])</f>
        <v>Guntur Store</v>
      </c>
      <c r="L153" t="str">
        <f>_xlfn.XLOOKUP(sales[[#This Row],[Customer_ID]],customers[Customer_ID],customers[Customer_Name])</f>
        <v>Ravi_60</v>
      </c>
      <c r="M153" t="str">
        <f>IF(sales[[#This Row],[Total_Amount]]&gt;=50000,"High Sales","Low Sales")</f>
        <v>Low Sales</v>
      </c>
      <c r="N153">
        <f>sales[[#This Row],[Total_Amount]]/sales[[#This Row],[Quantity]]</f>
        <v>2130.6799999999998</v>
      </c>
    </row>
    <row r="154" spans="1:14" x14ac:dyDescent="0.3">
      <c r="A154" t="s">
        <v>790</v>
      </c>
      <c r="B154">
        <v>1044</v>
      </c>
      <c r="C154" t="s">
        <v>84</v>
      </c>
      <c r="D154" t="s">
        <v>57</v>
      </c>
      <c r="E154" t="s">
        <v>791</v>
      </c>
      <c r="F154">
        <v>3</v>
      </c>
      <c r="G154">
        <v>300242.25</v>
      </c>
      <c r="H154" t="s">
        <v>531</v>
      </c>
      <c r="I154">
        <v>2026</v>
      </c>
      <c r="J154" t="str">
        <f>_xlfn.XLOOKUP(sales[[#This Row],[Product_ID]],products[Product_ID],products[Product_Name])</f>
        <v>Headphones 7</v>
      </c>
      <c r="K154" t="str">
        <f>_xlfn.XLOOKUP(sales[[#This Row],[Store_ID]],stores[Store_ID],stores[Store_Name])</f>
        <v>Bengaluru Store</v>
      </c>
      <c r="L154" t="str">
        <f>_xlfn.XLOOKUP(sales[[#This Row],[Customer_ID]],customers[Customer_ID],customers[Customer_Name])</f>
        <v>Sita_44</v>
      </c>
      <c r="M154" t="str">
        <f>IF(sales[[#This Row],[Total_Amount]]&gt;=50000,"High Sales","Low Sales")</f>
        <v>High Sales</v>
      </c>
      <c r="N154">
        <f>sales[[#This Row],[Total_Amount]]/sales[[#This Row],[Quantity]]</f>
        <v>100080.75</v>
      </c>
    </row>
    <row r="155" spans="1:14" x14ac:dyDescent="0.3">
      <c r="A155" t="s">
        <v>792</v>
      </c>
      <c r="B155">
        <v>1036</v>
      </c>
      <c r="C155" t="s">
        <v>94</v>
      </c>
      <c r="D155" t="s">
        <v>46</v>
      </c>
      <c r="E155" t="s">
        <v>619</v>
      </c>
      <c r="F155">
        <v>4</v>
      </c>
      <c r="G155">
        <v>222115.6</v>
      </c>
      <c r="H155" t="s">
        <v>531</v>
      </c>
      <c r="I155">
        <v>2026</v>
      </c>
      <c r="J155" t="str">
        <f>_xlfn.XLOOKUP(sales[[#This Row],[Product_ID]],products[Product_ID],products[Product_Name])</f>
        <v>Mouse 12</v>
      </c>
      <c r="K155" t="str">
        <f>_xlfn.XLOOKUP(sales[[#This Row],[Store_ID]],stores[Store_ID],stores[Store_Name])</f>
        <v>Vijayawada Store</v>
      </c>
      <c r="L155" t="str">
        <f>_xlfn.XLOOKUP(sales[[#This Row],[Customer_ID]],customers[Customer_ID],customers[Customer_Name])</f>
        <v>Ramesh_36</v>
      </c>
      <c r="M155" t="str">
        <f>IF(sales[[#This Row],[Total_Amount]]&gt;=50000,"High Sales","Low Sales")</f>
        <v>High Sales</v>
      </c>
      <c r="N155">
        <f>sales[[#This Row],[Total_Amount]]/sales[[#This Row],[Quantity]]</f>
        <v>55528.9</v>
      </c>
    </row>
    <row r="156" spans="1:14" x14ac:dyDescent="0.3">
      <c r="A156" t="s">
        <v>793</v>
      </c>
      <c r="B156">
        <v>1003</v>
      </c>
      <c r="C156" t="s">
        <v>104</v>
      </c>
      <c r="D156" t="s">
        <v>42</v>
      </c>
      <c r="E156" t="s">
        <v>794</v>
      </c>
      <c r="F156">
        <v>1</v>
      </c>
      <c r="G156">
        <v>21237.21</v>
      </c>
      <c r="H156" t="s">
        <v>558</v>
      </c>
      <c r="I156">
        <v>2026</v>
      </c>
      <c r="J156" t="str">
        <f>_xlfn.XLOOKUP(sales[[#This Row],[Product_ID]],products[Product_ID],products[Product_Name])</f>
        <v>Mixer 17</v>
      </c>
      <c r="K156" t="str">
        <f>_xlfn.XLOOKUP(sales[[#This Row],[Store_ID]],stores[Store_ID],stores[Store_Name])</f>
        <v>Hyderabad Store</v>
      </c>
      <c r="L156" t="str">
        <f>_xlfn.XLOOKUP(sales[[#This Row],[Customer_ID]],customers[Customer_ID],customers[Customer_Name])</f>
        <v>Priya_3</v>
      </c>
      <c r="M156" t="str">
        <f>IF(sales[[#This Row],[Total_Amount]]&gt;=50000,"High Sales","Low Sales")</f>
        <v>Low Sales</v>
      </c>
      <c r="N156">
        <f>sales[[#This Row],[Total_Amount]]/sales[[#This Row],[Quantity]]</f>
        <v>21237.21</v>
      </c>
    </row>
    <row r="157" spans="1:14" x14ac:dyDescent="0.3">
      <c r="A157" t="s">
        <v>795</v>
      </c>
      <c r="B157">
        <v>1187</v>
      </c>
      <c r="C157" t="s">
        <v>120</v>
      </c>
      <c r="D157" t="s">
        <v>62</v>
      </c>
      <c r="E157" t="s">
        <v>662</v>
      </c>
      <c r="F157">
        <v>5</v>
      </c>
      <c r="G157">
        <v>554888.55000000005</v>
      </c>
      <c r="H157" t="s">
        <v>525</v>
      </c>
      <c r="I157">
        <v>2026</v>
      </c>
      <c r="J157" t="str">
        <f>_xlfn.XLOOKUP(sales[[#This Row],[Product_ID]],products[Product_ID],products[Product_Name])</f>
        <v>Printer 25</v>
      </c>
      <c r="K157" t="str">
        <f>_xlfn.XLOOKUP(sales[[#This Row],[Store_ID]],stores[Store_ID],stores[Store_Name])</f>
        <v>Pune Store</v>
      </c>
      <c r="L157" t="str">
        <f>_xlfn.XLOOKUP(sales[[#This Row],[Customer_ID]],customers[Customer_ID],customers[Customer_Name])</f>
        <v>Nikhil_187</v>
      </c>
      <c r="M157" t="str">
        <f>IF(sales[[#This Row],[Total_Amount]]&gt;=50000,"High Sales","Low Sales")</f>
        <v>High Sales</v>
      </c>
      <c r="N157">
        <f>sales[[#This Row],[Total_Amount]]/sales[[#This Row],[Quantity]]</f>
        <v>110977.71</v>
      </c>
    </row>
    <row r="158" spans="1:14" x14ac:dyDescent="0.3">
      <c r="A158" t="s">
        <v>796</v>
      </c>
      <c r="B158">
        <v>1176</v>
      </c>
      <c r="C158" t="s">
        <v>118</v>
      </c>
      <c r="D158" t="s">
        <v>48</v>
      </c>
      <c r="E158" t="s">
        <v>797</v>
      </c>
      <c r="F158">
        <v>3</v>
      </c>
      <c r="G158">
        <v>328869.59999999998</v>
      </c>
      <c r="H158" t="s">
        <v>572</v>
      </c>
      <c r="I158">
        <v>2025</v>
      </c>
      <c r="J158" t="str">
        <f>_xlfn.XLOOKUP(sales[[#This Row],[Product_ID]],products[Product_ID],products[Product_Name])</f>
        <v>Tablet 24</v>
      </c>
      <c r="K158" t="str">
        <f>_xlfn.XLOOKUP(sales[[#This Row],[Store_ID]],stores[Store_ID],stores[Store_Name])</f>
        <v>Visakhapatnam Store</v>
      </c>
      <c r="L158" t="str">
        <f>_xlfn.XLOOKUP(sales[[#This Row],[Customer_ID]],customers[Customer_ID],customers[Customer_Name])</f>
        <v>Vikram_176</v>
      </c>
      <c r="M158" t="str">
        <f>IF(sales[[#This Row],[Total_Amount]]&gt;=50000,"High Sales","Low Sales")</f>
        <v>High Sales</v>
      </c>
      <c r="N158">
        <f>sales[[#This Row],[Total_Amount]]/sales[[#This Row],[Quantity]]</f>
        <v>109623.2</v>
      </c>
    </row>
    <row r="159" spans="1:14" x14ac:dyDescent="0.3">
      <c r="A159" t="s">
        <v>798</v>
      </c>
      <c r="B159">
        <v>1100</v>
      </c>
      <c r="C159" t="s">
        <v>124</v>
      </c>
      <c r="D159" t="s">
        <v>57</v>
      </c>
      <c r="E159" t="s">
        <v>799</v>
      </c>
      <c r="F159">
        <v>1</v>
      </c>
      <c r="G159">
        <v>45428.52</v>
      </c>
      <c r="H159" t="s">
        <v>537</v>
      </c>
      <c r="I159">
        <v>2025</v>
      </c>
      <c r="J159" t="str">
        <f>_xlfn.XLOOKUP(sales[[#This Row],[Product_ID]],products[Product_ID],products[Product_Name])</f>
        <v>Mixer 27</v>
      </c>
      <c r="K159" t="str">
        <f>_xlfn.XLOOKUP(sales[[#This Row],[Store_ID]],stores[Store_ID],stores[Store_Name])</f>
        <v>Bengaluru Store</v>
      </c>
      <c r="L159" t="str">
        <f>_xlfn.XLOOKUP(sales[[#This Row],[Customer_ID]],customers[Customer_ID],customers[Customer_Name])</f>
        <v>Vikram_100</v>
      </c>
      <c r="M159" t="str">
        <f>IF(sales[[#This Row],[Total_Amount]]&gt;=50000,"High Sales","Low Sales")</f>
        <v>Low Sales</v>
      </c>
      <c r="N159">
        <f>sales[[#This Row],[Total_Amount]]/sales[[#This Row],[Quantity]]</f>
        <v>45428.52</v>
      </c>
    </row>
    <row r="160" spans="1:14" x14ac:dyDescent="0.3">
      <c r="A160" t="s">
        <v>800</v>
      </c>
      <c r="B160">
        <v>1094</v>
      </c>
      <c r="C160" t="s">
        <v>90</v>
      </c>
      <c r="D160" t="s">
        <v>48</v>
      </c>
      <c r="E160" t="s">
        <v>801</v>
      </c>
      <c r="F160">
        <v>3</v>
      </c>
      <c r="G160">
        <v>326564.21999999997</v>
      </c>
      <c r="H160" t="s">
        <v>531</v>
      </c>
      <c r="I160">
        <v>2026</v>
      </c>
      <c r="J160" t="str">
        <f>_xlfn.XLOOKUP(sales[[#This Row],[Product_ID]],products[Product_ID],products[Product_Name])</f>
        <v>Camera 10</v>
      </c>
      <c r="K160" t="str">
        <f>_xlfn.XLOOKUP(sales[[#This Row],[Store_ID]],stores[Store_ID],stores[Store_Name])</f>
        <v>Visakhapatnam Store</v>
      </c>
      <c r="L160" t="str">
        <f>_xlfn.XLOOKUP(sales[[#This Row],[Customer_ID]],customers[Customer_ID],customers[Customer_Name])</f>
        <v>Keerthi_94</v>
      </c>
      <c r="M160" t="str">
        <f>IF(sales[[#This Row],[Total_Amount]]&gt;=50000,"High Sales","Low Sales")</f>
        <v>High Sales</v>
      </c>
      <c r="N160">
        <f>sales[[#This Row],[Total_Amount]]/sales[[#This Row],[Quantity]]</f>
        <v>108854.73999999999</v>
      </c>
    </row>
    <row r="161" spans="1:14" x14ac:dyDescent="0.3">
      <c r="A161" t="s">
        <v>802</v>
      </c>
      <c r="B161">
        <v>1170</v>
      </c>
      <c r="C161" t="s">
        <v>86</v>
      </c>
      <c r="D161" t="s">
        <v>57</v>
      </c>
      <c r="E161" t="s">
        <v>803</v>
      </c>
      <c r="F161">
        <v>4</v>
      </c>
      <c r="G161">
        <v>254573.2</v>
      </c>
      <c r="H161" t="s">
        <v>534</v>
      </c>
      <c r="I161">
        <v>2025</v>
      </c>
      <c r="J161" t="str">
        <f>_xlfn.XLOOKUP(sales[[#This Row],[Product_ID]],products[Product_ID],products[Product_Name])</f>
        <v>Laptop 8</v>
      </c>
      <c r="K161" t="str">
        <f>_xlfn.XLOOKUP(sales[[#This Row],[Store_ID]],stores[Store_ID],stores[Store_Name])</f>
        <v>Bengaluru Store</v>
      </c>
      <c r="L161" t="str">
        <f>_xlfn.XLOOKUP(sales[[#This Row],[Customer_ID]],customers[Customer_ID],customers[Customer_Name])</f>
        <v>Ravi_170</v>
      </c>
      <c r="M161" t="str">
        <f>IF(sales[[#This Row],[Total_Amount]]&gt;=50000,"High Sales","Low Sales")</f>
        <v>High Sales</v>
      </c>
      <c r="N161">
        <f>sales[[#This Row],[Total_Amount]]/sales[[#This Row],[Quantity]]</f>
        <v>63643.3</v>
      </c>
    </row>
    <row r="162" spans="1:14" x14ac:dyDescent="0.3">
      <c r="A162" t="s">
        <v>804</v>
      </c>
      <c r="B162">
        <v>1143</v>
      </c>
      <c r="C162" t="s">
        <v>98</v>
      </c>
      <c r="D162" t="s">
        <v>46</v>
      </c>
      <c r="E162" t="s">
        <v>805</v>
      </c>
      <c r="F162">
        <v>5</v>
      </c>
      <c r="G162">
        <v>566626</v>
      </c>
      <c r="H162" t="s">
        <v>558</v>
      </c>
      <c r="I162">
        <v>2025</v>
      </c>
      <c r="J162" t="str">
        <f>_xlfn.XLOOKUP(sales[[#This Row],[Product_ID]],products[Product_ID],products[Product_Name])</f>
        <v>Camera 14</v>
      </c>
      <c r="K162" t="str">
        <f>_xlfn.XLOOKUP(sales[[#This Row],[Store_ID]],stores[Store_ID],stores[Store_Name])</f>
        <v>Vijayawada Store</v>
      </c>
      <c r="L162" t="str">
        <f>_xlfn.XLOOKUP(sales[[#This Row],[Customer_ID]],customers[Customer_ID],customers[Customer_Name])</f>
        <v>Sita_143</v>
      </c>
      <c r="M162" t="str">
        <f>IF(sales[[#This Row],[Total_Amount]]&gt;=50000,"High Sales","Low Sales")</f>
        <v>High Sales</v>
      </c>
      <c r="N162">
        <f>sales[[#This Row],[Total_Amount]]/sales[[#This Row],[Quantity]]</f>
        <v>113325.2</v>
      </c>
    </row>
    <row r="163" spans="1:14" x14ac:dyDescent="0.3">
      <c r="A163" t="s">
        <v>806</v>
      </c>
      <c r="B163">
        <v>1163</v>
      </c>
      <c r="C163" t="s">
        <v>112</v>
      </c>
      <c r="D163" t="s">
        <v>53</v>
      </c>
      <c r="E163" t="s">
        <v>807</v>
      </c>
      <c r="F163">
        <v>3</v>
      </c>
      <c r="G163">
        <v>188113.65</v>
      </c>
      <c r="H163" t="s">
        <v>561</v>
      </c>
      <c r="I163">
        <v>2025</v>
      </c>
      <c r="J163" t="str">
        <f>_xlfn.XLOOKUP(sales[[#This Row],[Product_ID]],products[Product_ID],products[Product_Name])</f>
        <v>Monitor 21</v>
      </c>
      <c r="K163" t="str">
        <f>_xlfn.XLOOKUP(sales[[#This Row],[Store_ID]],stores[Store_ID],stores[Store_Name])</f>
        <v>Warangal Store</v>
      </c>
      <c r="L163" t="str">
        <f>_xlfn.XLOOKUP(sales[[#This Row],[Customer_ID]],customers[Customer_ID],customers[Customer_Name])</f>
        <v>Pooja_163</v>
      </c>
      <c r="M163" t="str">
        <f>IF(sales[[#This Row],[Total_Amount]]&gt;=50000,"High Sales","Low Sales")</f>
        <v>High Sales</v>
      </c>
      <c r="N163">
        <f>sales[[#This Row],[Total_Amount]]/sales[[#This Row],[Quantity]]</f>
        <v>62704.549999999996</v>
      </c>
    </row>
    <row r="164" spans="1:14" x14ac:dyDescent="0.3">
      <c r="A164" t="s">
        <v>808</v>
      </c>
      <c r="B164">
        <v>1178</v>
      </c>
      <c r="C164" t="s">
        <v>118</v>
      </c>
      <c r="D164" t="s">
        <v>59</v>
      </c>
      <c r="E164" t="s">
        <v>809</v>
      </c>
      <c r="F164">
        <v>2</v>
      </c>
      <c r="G164">
        <v>46320.88</v>
      </c>
      <c r="H164" t="s">
        <v>575</v>
      </c>
      <c r="I164">
        <v>2026</v>
      </c>
      <c r="J164" t="str">
        <f>_xlfn.XLOOKUP(sales[[#This Row],[Product_ID]],products[Product_ID],products[Product_Name])</f>
        <v>Tablet 24</v>
      </c>
      <c r="K164" t="str">
        <f>_xlfn.XLOOKUP(sales[[#This Row],[Store_ID]],stores[Store_ID],stores[Store_Name])</f>
        <v>Chennai Store</v>
      </c>
      <c r="L164" t="str">
        <f>_xlfn.XLOOKUP(sales[[#This Row],[Customer_ID]],customers[Customer_ID],customers[Customer_Name])</f>
        <v>Divya_178</v>
      </c>
      <c r="M164" t="str">
        <f>IF(sales[[#This Row],[Total_Amount]]&gt;=50000,"High Sales","Low Sales")</f>
        <v>Low Sales</v>
      </c>
      <c r="N164">
        <f>sales[[#This Row],[Total_Amount]]/sales[[#This Row],[Quantity]]</f>
        <v>23160.44</v>
      </c>
    </row>
    <row r="165" spans="1:14" x14ac:dyDescent="0.3">
      <c r="A165" t="s">
        <v>810</v>
      </c>
      <c r="B165">
        <v>1119</v>
      </c>
      <c r="C165" t="s">
        <v>79</v>
      </c>
      <c r="D165" t="s">
        <v>59</v>
      </c>
      <c r="E165" t="s">
        <v>334</v>
      </c>
      <c r="F165">
        <v>1</v>
      </c>
      <c r="G165">
        <v>7948.96</v>
      </c>
      <c r="H165" t="s">
        <v>531</v>
      </c>
      <c r="I165">
        <v>2025</v>
      </c>
      <c r="J165" t="str">
        <f>_xlfn.XLOOKUP(sales[[#This Row],[Product_ID]],products[Product_ID],products[Product_Name])</f>
        <v>Smartphone 5</v>
      </c>
      <c r="K165" t="str">
        <f>_xlfn.XLOOKUP(sales[[#This Row],[Store_ID]],stores[Store_ID],stores[Store_Name])</f>
        <v>Chennai Store</v>
      </c>
      <c r="L165" t="str">
        <f>_xlfn.XLOOKUP(sales[[#This Row],[Customer_ID]],customers[Customer_ID],customers[Customer_Name])</f>
        <v>Ramesh_119</v>
      </c>
      <c r="M165" t="str">
        <f>IF(sales[[#This Row],[Total_Amount]]&gt;=50000,"High Sales","Low Sales")</f>
        <v>Low Sales</v>
      </c>
      <c r="N165">
        <f>sales[[#This Row],[Total_Amount]]/sales[[#This Row],[Quantity]]</f>
        <v>7948.96</v>
      </c>
    </row>
    <row r="166" spans="1:14" x14ac:dyDescent="0.3">
      <c r="A166" t="s">
        <v>811</v>
      </c>
      <c r="B166">
        <v>1061</v>
      </c>
      <c r="C166" t="s">
        <v>84</v>
      </c>
      <c r="D166" t="s">
        <v>42</v>
      </c>
      <c r="E166" t="s">
        <v>278</v>
      </c>
      <c r="F166">
        <v>5</v>
      </c>
      <c r="G166">
        <v>418415.2</v>
      </c>
      <c r="H166" t="s">
        <v>558</v>
      </c>
      <c r="I166">
        <v>2025</v>
      </c>
      <c r="J166" t="str">
        <f>_xlfn.XLOOKUP(sales[[#This Row],[Product_ID]],products[Product_ID],products[Product_Name])</f>
        <v>Headphones 7</v>
      </c>
      <c r="K166" t="str">
        <f>_xlfn.XLOOKUP(sales[[#This Row],[Store_ID]],stores[Store_ID],stores[Store_Name])</f>
        <v>Hyderabad Store</v>
      </c>
      <c r="L166" t="str">
        <f>_xlfn.XLOOKUP(sales[[#This Row],[Customer_ID]],customers[Customer_ID],customers[Customer_Name])</f>
        <v>Vikram_61</v>
      </c>
      <c r="M166" t="str">
        <f>IF(sales[[#This Row],[Total_Amount]]&gt;=50000,"High Sales","Low Sales")</f>
        <v>High Sales</v>
      </c>
      <c r="N166">
        <f>sales[[#This Row],[Total_Amount]]/sales[[#This Row],[Quantity]]</f>
        <v>83683.040000000008</v>
      </c>
    </row>
    <row r="167" spans="1:14" x14ac:dyDescent="0.3">
      <c r="A167" t="s">
        <v>812</v>
      </c>
      <c r="B167">
        <v>1101</v>
      </c>
      <c r="C167" t="s">
        <v>100</v>
      </c>
      <c r="D167" t="s">
        <v>48</v>
      </c>
      <c r="E167" t="s">
        <v>574</v>
      </c>
      <c r="F167">
        <v>5</v>
      </c>
      <c r="G167">
        <v>571472.55000000005</v>
      </c>
      <c r="H167" t="s">
        <v>575</v>
      </c>
      <c r="I167">
        <v>2026</v>
      </c>
      <c r="J167" t="str">
        <f>_xlfn.XLOOKUP(sales[[#This Row],[Product_ID]],products[Product_ID],products[Product_Name])</f>
        <v>Tablet 15</v>
      </c>
      <c r="K167" t="str">
        <f>_xlfn.XLOOKUP(sales[[#This Row],[Store_ID]],stores[Store_ID],stores[Store_Name])</f>
        <v>Visakhapatnam Store</v>
      </c>
      <c r="L167" t="str">
        <f>_xlfn.XLOOKUP(sales[[#This Row],[Customer_ID]],customers[Customer_ID],customers[Customer_Name])</f>
        <v>Anjali_101</v>
      </c>
      <c r="M167" t="str">
        <f>IF(sales[[#This Row],[Total_Amount]]&gt;=50000,"High Sales","Low Sales")</f>
        <v>High Sales</v>
      </c>
      <c r="N167">
        <f>sales[[#This Row],[Total_Amount]]/sales[[#This Row],[Quantity]]</f>
        <v>114294.51000000001</v>
      </c>
    </row>
    <row r="168" spans="1:14" x14ac:dyDescent="0.3">
      <c r="A168" t="s">
        <v>813</v>
      </c>
      <c r="B168">
        <v>1073</v>
      </c>
      <c r="C168" t="s">
        <v>69</v>
      </c>
      <c r="D168" t="s">
        <v>48</v>
      </c>
      <c r="E168" t="s">
        <v>814</v>
      </c>
      <c r="F168">
        <v>4</v>
      </c>
      <c r="G168">
        <v>402810.8</v>
      </c>
      <c r="H168" t="s">
        <v>575</v>
      </c>
      <c r="I168">
        <v>2025</v>
      </c>
      <c r="J168" t="str">
        <f>_xlfn.XLOOKUP(sales[[#This Row],[Product_ID]],products[Product_ID],products[Product_Name])</f>
        <v>Headphones 1</v>
      </c>
      <c r="K168" t="str">
        <f>_xlfn.XLOOKUP(sales[[#This Row],[Store_ID]],stores[Store_ID],stores[Store_Name])</f>
        <v>Visakhapatnam Store</v>
      </c>
      <c r="L168" t="str">
        <f>_xlfn.XLOOKUP(sales[[#This Row],[Customer_ID]],customers[Customer_ID],customers[Customer_Name])</f>
        <v>Arjun_73</v>
      </c>
      <c r="M168" t="str">
        <f>IF(sales[[#This Row],[Total_Amount]]&gt;=50000,"High Sales","Low Sales")</f>
        <v>High Sales</v>
      </c>
      <c r="N168">
        <f>sales[[#This Row],[Total_Amount]]/sales[[#This Row],[Quantity]]</f>
        <v>100702.7</v>
      </c>
    </row>
    <row r="169" spans="1:14" x14ac:dyDescent="0.3">
      <c r="A169" t="s">
        <v>815</v>
      </c>
      <c r="B169">
        <v>1172</v>
      </c>
      <c r="C169" t="s">
        <v>81</v>
      </c>
      <c r="D169" t="s">
        <v>46</v>
      </c>
      <c r="E169" t="s">
        <v>605</v>
      </c>
      <c r="F169">
        <v>2</v>
      </c>
      <c r="G169">
        <v>30695.119999999999</v>
      </c>
      <c r="H169" t="s">
        <v>575</v>
      </c>
      <c r="I169">
        <v>2026</v>
      </c>
      <c r="J169" t="str">
        <f>_xlfn.XLOOKUP(sales[[#This Row],[Product_ID]],products[Product_ID],products[Product_Name])</f>
        <v>Camera 6</v>
      </c>
      <c r="K169" t="str">
        <f>_xlfn.XLOOKUP(sales[[#This Row],[Store_ID]],stores[Store_ID],stores[Store_Name])</f>
        <v>Vijayawada Store</v>
      </c>
      <c r="L169" t="str">
        <f>_xlfn.XLOOKUP(sales[[#This Row],[Customer_ID]],customers[Customer_ID],customers[Customer_Name])</f>
        <v>Priya_172</v>
      </c>
      <c r="M169" t="str">
        <f>IF(sales[[#This Row],[Total_Amount]]&gt;=50000,"High Sales","Low Sales")</f>
        <v>Low Sales</v>
      </c>
      <c r="N169">
        <f>sales[[#This Row],[Total_Amount]]/sales[[#This Row],[Quantity]]</f>
        <v>15347.56</v>
      </c>
    </row>
    <row r="170" spans="1:14" x14ac:dyDescent="0.3">
      <c r="A170" t="s">
        <v>816</v>
      </c>
      <c r="B170">
        <v>1040</v>
      </c>
      <c r="C170" t="s">
        <v>79</v>
      </c>
      <c r="D170" t="s">
        <v>42</v>
      </c>
      <c r="E170" t="s">
        <v>817</v>
      </c>
      <c r="F170">
        <v>2</v>
      </c>
      <c r="G170">
        <v>227324.54</v>
      </c>
      <c r="H170" t="s">
        <v>537</v>
      </c>
      <c r="I170">
        <v>2026</v>
      </c>
      <c r="J170" t="str">
        <f>_xlfn.XLOOKUP(sales[[#This Row],[Product_ID]],products[Product_ID],products[Product_Name])</f>
        <v>Smartphone 5</v>
      </c>
      <c r="K170" t="str">
        <f>_xlfn.XLOOKUP(sales[[#This Row],[Store_ID]],stores[Store_ID],stores[Store_Name])</f>
        <v>Hyderabad Store</v>
      </c>
      <c r="L170" t="str">
        <f>_xlfn.XLOOKUP(sales[[#This Row],[Customer_ID]],customers[Customer_ID],customers[Customer_Name])</f>
        <v>Sneha_40</v>
      </c>
      <c r="M170" t="str">
        <f>IF(sales[[#This Row],[Total_Amount]]&gt;=50000,"High Sales","Low Sales")</f>
        <v>High Sales</v>
      </c>
      <c r="N170">
        <f>sales[[#This Row],[Total_Amount]]/sales[[#This Row],[Quantity]]</f>
        <v>113662.27</v>
      </c>
    </row>
    <row r="171" spans="1:14" x14ac:dyDescent="0.3">
      <c r="A171" t="s">
        <v>818</v>
      </c>
      <c r="B171">
        <v>1120</v>
      </c>
      <c r="C171" t="s">
        <v>124</v>
      </c>
      <c r="D171" t="s">
        <v>62</v>
      </c>
      <c r="E171" t="s">
        <v>819</v>
      </c>
      <c r="F171">
        <v>2</v>
      </c>
      <c r="G171">
        <v>43946.04</v>
      </c>
      <c r="H171" t="s">
        <v>558</v>
      </c>
      <c r="I171">
        <v>2026</v>
      </c>
      <c r="J171" t="str">
        <f>_xlfn.XLOOKUP(sales[[#This Row],[Product_ID]],products[Product_ID],products[Product_Name])</f>
        <v>Mixer 27</v>
      </c>
      <c r="K171" t="str">
        <f>_xlfn.XLOOKUP(sales[[#This Row],[Store_ID]],stores[Store_ID],stores[Store_Name])</f>
        <v>Pune Store</v>
      </c>
      <c r="L171" t="str">
        <f>_xlfn.XLOOKUP(sales[[#This Row],[Customer_ID]],customers[Customer_ID],customers[Customer_Name])</f>
        <v>Pooja_120</v>
      </c>
      <c r="M171" t="str">
        <f>IF(sales[[#This Row],[Total_Amount]]&gt;=50000,"High Sales","Low Sales")</f>
        <v>Low Sales</v>
      </c>
      <c r="N171">
        <f>sales[[#This Row],[Total_Amount]]/sales[[#This Row],[Quantity]]</f>
        <v>21973.02</v>
      </c>
    </row>
    <row r="172" spans="1:14" x14ac:dyDescent="0.3">
      <c r="A172" t="s">
        <v>820</v>
      </c>
      <c r="B172">
        <v>1195</v>
      </c>
      <c r="C172" t="s">
        <v>116</v>
      </c>
      <c r="D172" t="s">
        <v>48</v>
      </c>
      <c r="E172" t="s">
        <v>821</v>
      </c>
      <c r="F172">
        <v>1</v>
      </c>
      <c r="G172">
        <v>91583.73</v>
      </c>
      <c r="H172" t="s">
        <v>575</v>
      </c>
      <c r="I172">
        <v>2025</v>
      </c>
      <c r="J172" t="str">
        <f>_xlfn.XLOOKUP(sales[[#This Row],[Product_ID]],products[Product_ID],products[Product_Name])</f>
        <v>Microwave 23</v>
      </c>
      <c r="K172" t="str">
        <f>_xlfn.XLOOKUP(sales[[#This Row],[Store_ID]],stores[Store_ID],stores[Store_Name])</f>
        <v>Visakhapatnam Store</v>
      </c>
      <c r="L172" t="str">
        <f>_xlfn.XLOOKUP(sales[[#This Row],[Customer_ID]],customers[Customer_ID],customers[Customer_Name])</f>
        <v>Ramesh_195</v>
      </c>
      <c r="M172" t="str">
        <f>IF(sales[[#This Row],[Total_Amount]]&gt;=50000,"High Sales","Low Sales")</f>
        <v>High Sales</v>
      </c>
      <c r="N172">
        <f>sales[[#This Row],[Total_Amount]]/sales[[#This Row],[Quantity]]</f>
        <v>91583.73</v>
      </c>
    </row>
    <row r="173" spans="1:14" x14ac:dyDescent="0.3">
      <c r="A173" t="s">
        <v>822</v>
      </c>
      <c r="B173">
        <v>1167</v>
      </c>
      <c r="C173" t="s">
        <v>98</v>
      </c>
      <c r="D173" t="s">
        <v>59</v>
      </c>
      <c r="E173" t="s">
        <v>823</v>
      </c>
      <c r="F173">
        <v>3</v>
      </c>
      <c r="G173">
        <v>334594.65000000002</v>
      </c>
      <c r="H173" t="s">
        <v>522</v>
      </c>
      <c r="I173">
        <v>2025</v>
      </c>
      <c r="J173" t="str">
        <f>_xlfn.XLOOKUP(sales[[#This Row],[Product_ID]],products[Product_ID],products[Product_Name])</f>
        <v>Camera 14</v>
      </c>
      <c r="K173" t="str">
        <f>_xlfn.XLOOKUP(sales[[#This Row],[Store_ID]],stores[Store_ID],stores[Store_Name])</f>
        <v>Chennai Store</v>
      </c>
      <c r="L173" t="str">
        <f>_xlfn.XLOOKUP(sales[[#This Row],[Customer_ID]],customers[Customer_ID],customers[Customer_Name])</f>
        <v>Nikhil_167</v>
      </c>
      <c r="M173" t="str">
        <f>IF(sales[[#This Row],[Total_Amount]]&gt;=50000,"High Sales","Low Sales")</f>
        <v>High Sales</v>
      </c>
      <c r="N173">
        <f>sales[[#This Row],[Total_Amount]]/sales[[#This Row],[Quantity]]</f>
        <v>111531.55</v>
      </c>
    </row>
    <row r="174" spans="1:14" x14ac:dyDescent="0.3">
      <c r="A174" t="s">
        <v>824</v>
      </c>
      <c r="B174">
        <v>1100</v>
      </c>
      <c r="C174" t="s">
        <v>96</v>
      </c>
      <c r="D174" t="s">
        <v>48</v>
      </c>
      <c r="E174" t="s">
        <v>825</v>
      </c>
      <c r="F174">
        <v>2</v>
      </c>
      <c r="G174">
        <v>19685.96</v>
      </c>
      <c r="H174" t="s">
        <v>545</v>
      </c>
      <c r="I174">
        <v>2026</v>
      </c>
      <c r="J174" t="str">
        <f>_xlfn.XLOOKUP(sales[[#This Row],[Product_ID]],products[Product_ID],products[Product_Name])</f>
        <v>Printer 13</v>
      </c>
      <c r="K174" t="str">
        <f>_xlfn.XLOOKUP(sales[[#This Row],[Store_ID]],stores[Store_ID],stores[Store_Name])</f>
        <v>Visakhapatnam Store</v>
      </c>
      <c r="L174" t="str">
        <f>_xlfn.XLOOKUP(sales[[#This Row],[Customer_ID]],customers[Customer_ID],customers[Customer_Name])</f>
        <v>Vikram_100</v>
      </c>
      <c r="M174" t="str">
        <f>IF(sales[[#This Row],[Total_Amount]]&gt;=50000,"High Sales","Low Sales")</f>
        <v>Low Sales</v>
      </c>
      <c r="N174">
        <f>sales[[#This Row],[Total_Amount]]/sales[[#This Row],[Quantity]]</f>
        <v>9842.98</v>
      </c>
    </row>
    <row r="175" spans="1:14" x14ac:dyDescent="0.3">
      <c r="A175" t="s">
        <v>826</v>
      </c>
      <c r="B175">
        <v>1120</v>
      </c>
      <c r="C175" t="s">
        <v>79</v>
      </c>
      <c r="D175" t="s">
        <v>50</v>
      </c>
      <c r="E175" t="s">
        <v>827</v>
      </c>
      <c r="F175">
        <v>4</v>
      </c>
      <c r="G175">
        <v>316260.08</v>
      </c>
      <c r="H175" t="s">
        <v>572</v>
      </c>
      <c r="I175">
        <v>2025</v>
      </c>
      <c r="J175" t="str">
        <f>_xlfn.XLOOKUP(sales[[#This Row],[Product_ID]],products[Product_ID],products[Product_Name])</f>
        <v>Smartphone 5</v>
      </c>
      <c r="K175" t="str">
        <f>_xlfn.XLOOKUP(sales[[#This Row],[Store_ID]],stores[Store_ID],stores[Store_Name])</f>
        <v>Guntur Store</v>
      </c>
      <c r="L175" t="str">
        <f>_xlfn.XLOOKUP(sales[[#This Row],[Customer_ID]],customers[Customer_ID],customers[Customer_Name])</f>
        <v>Pooja_120</v>
      </c>
      <c r="M175" t="str">
        <f>IF(sales[[#This Row],[Total_Amount]]&gt;=50000,"High Sales","Low Sales")</f>
        <v>High Sales</v>
      </c>
      <c r="N175">
        <f>sales[[#This Row],[Total_Amount]]/sales[[#This Row],[Quantity]]</f>
        <v>79065.02</v>
      </c>
    </row>
    <row r="176" spans="1:14" x14ac:dyDescent="0.3">
      <c r="A176" t="s">
        <v>828</v>
      </c>
      <c r="B176">
        <v>1045</v>
      </c>
      <c r="C176" t="s">
        <v>112</v>
      </c>
      <c r="D176" t="s">
        <v>42</v>
      </c>
      <c r="E176" t="s">
        <v>829</v>
      </c>
      <c r="F176">
        <v>2</v>
      </c>
      <c r="G176">
        <v>230840.7</v>
      </c>
      <c r="H176" t="s">
        <v>525</v>
      </c>
      <c r="I176">
        <v>2025</v>
      </c>
      <c r="J176" t="str">
        <f>_xlfn.XLOOKUP(sales[[#This Row],[Product_ID]],products[Product_ID],products[Product_Name])</f>
        <v>Monitor 21</v>
      </c>
      <c r="K176" t="str">
        <f>_xlfn.XLOOKUP(sales[[#This Row],[Store_ID]],stores[Store_ID],stores[Store_Name])</f>
        <v>Hyderabad Store</v>
      </c>
      <c r="L176" t="str">
        <f>_xlfn.XLOOKUP(sales[[#This Row],[Customer_ID]],customers[Customer_ID],customers[Customer_Name])</f>
        <v>Rahul_45</v>
      </c>
      <c r="M176" t="str">
        <f>IF(sales[[#This Row],[Total_Amount]]&gt;=50000,"High Sales","Low Sales")</f>
        <v>High Sales</v>
      </c>
      <c r="N176">
        <f>sales[[#This Row],[Total_Amount]]/sales[[#This Row],[Quantity]]</f>
        <v>115420.35</v>
      </c>
    </row>
    <row r="177" spans="1:14" x14ac:dyDescent="0.3">
      <c r="A177" t="s">
        <v>830</v>
      </c>
      <c r="B177">
        <v>1155</v>
      </c>
      <c r="C177" t="s">
        <v>114</v>
      </c>
      <c r="D177" t="s">
        <v>42</v>
      </c>
      <c r="E177" t="s">
        <v>831</v>
      </c>
      <c r="F177">
        <v>5</v>
      </c>
      <c r="G177">
        <v>293125.65000000002</v>
      </c>
      <c r="H177" t="s">
        <v>525</v>
      </c>
      <c r="I177">
        <v>2026</v>
      </c>
      <c r="J177" t="str">
        <f>_xlfn.XLOOKUP(sales[[#This Row],[Product_ID]],products[Product_ID],products[Product_Name])</f>
        <v>Mixer 22</v>
      </c>
      <c r="K177" t="str">
        <f>_xlfn.XLOOKUP(sales[[#This Row],[Store_ID]],stores[Store_ID],stores[Store_Name])</f>
        <v>Hyderabad Store</v>
      </c>
      <c r="L177" t="str">
        <f>_xlfn.XLOOKUP(sales[[#This Row],[Customer_ID]],customers[Customer_ID],customers[Customer_Name])</f>
        <v>Divya_155</v>
      </c>
      <c r="M177" t="str">
        <f>IF(sales[[#This Row],[Total_Amount]]&gt;=50000,"High Sales","Low Sales")</f>
        <v>High Sales</v>
      </c>
      <c r="N177">
        <f>sales[[#This Row],[Total_Amount]]/sales[[#This Row],[Quantity]]</f>
        <v>58625.130000000005</v>
      </c>
    </row>
    <row r="178" spans="1:14" x14ac:dyDescent="0.3">
      <c r="A178" t="s">
        <v>832</v>
      </c>
      <c r="B178">
        <v>1096</v>
      </c>
      <c r="C178" t="s">
        <v>112</v>
      </c>
      <c r="D178" t="s">
        <v>62</v>
      </c>
      <c r="E178" t="s">
        <v>833</v>
      </c>
      <c r="F178">
        <v>2</v>
      </c>
      <c r="G178">
        <v>92801.86</v>
      </c>
      <c r="H178" t="s">
        <v>575</v>
      </c>
      <c r="I178">
        <v>2026</v>
      </c>
      <c r="J178" t="str">
        <f>_xlfn.XLOOKUP(sales[[#This Row],[Product_ID]],products[Product_ID],products[Product_Name])</f>
        <v>Monitor 21</v>
      </c>
      <c r="K178" t="str">
        <f>_xlfn.XLOOKUP(sales[[#This Row],[Store_ID]],stores[Store_ID],stores[Store_Name])</f>
        <v>Pune Store</v>
      </c>
      <c r="L178" t="str">
        <f>_xlfn.XLOOKUP(sales[[#This Row],[Customer_ID]],customers[Customer_ID],customers[Customer_Name])</f>
        <v>Akhil_96</v>
      </c>
      <c r="M178" t="str">
        <f>IF(sales[[#This Row],[Total_Amount]]&gt;=50000,"High Sales","Low Sales")</f>
        <v>High Sales</v>
      </c>
      <c r="N178">
        <f>sales[[#This Row],[Total_Amount]]/sales[[#This Row],[Quantity]]</f>
        <v>46400.93</v>
      </c>
    </row>
    <row r="179" spans="1:14" x14ac:dyDescent="0.3">
      <c r="A179" t="s">
        <v>834</v>
      </c>
      <c r="B179">
        <v>1023</v>
      </c>
      <c r="C179" t="s">
        <v>104</v>
      </c>
      <c r="D179" t="s">
        <v>50</v>
      </c>
      <c r="E179" t="s">
        <v>835</v>
      </c>
      <c r="F179">
        <v>2</v>
      </c>
      <c r="G179">
        <v>103659.32</v>
      </c>
      <c r="H179" t="s">
        <v>534</v>
      </c>
      <c r="I179">
        <v>2025</v>
      </c>
      <c r="J179" t="str">
        <f>_xlfn.XLOOKUP(sales[[#This Row],[Product_ID]],products[Product_ID],products[Product_Name])</f>
        <v>Mixer 17</v>
      </c>
      <c r="K179" t="str">
        <f>_xlfn.XLOOKUP(sales[[#This Row],[Store_ID]],stores[Store_ID],stores[Store_Name])</f>
        <v>Guntur Store</v>
      </c>
      <c r="L179" t="str">
        <f>_xlfn.XLOOKUP(sales[[#This Row],[Customer_ID]],customers[Customer_ID],customers[Customer_Name])</f>
        <v>Arjun_23</v>
      </c>
      <c r="M179" t="str">
        <f>IF(sales[[#This Row],[Total_Amount]]&gt;=50000,"High Sales","Low Sales")</f>
        <v>High Sales</v>
      </c>
      <c r="N179">
        <f>sales[[#This Row],[Total_Amount]]/sales[[#This Row],[Quantity]]</f>
        <v>51829.66</v>
      </c>
    </row>
    <row r="180" spans="1:14" x14ac:dyDescent="0.3">
      <c r="A180" t="s">
        <v>836</v>
      </c>
      <c r="B180">
        <v>1004</v>
      </c>
      <c r="C180" t="s">
        <v>98</v>
      </c>
      <c r="D180" t="s">
        <v>59</v>
      </c>
      <c r="E180" t="s">
        <v>638</v>
      </c>
      <c r="F180">
        <v>5</v>
      </c>
      <c r="G180">
        <v>203010.6</v>
      </c>
      <c r="H180" t="s">
        <v>522</v>
      </c>
      <c r="I180">
        <v>2025</v>
      </c>
      <c r="J180" t="str">
        <f>_xlfn.XLOOKUP(sales[[#This Row],[Product_ID]],products[Product_ID],products[Product_Name])</f>
        <v>Camera 14</v>
      </c>
      <c r="K180" t="str">
        <f>_xlfn.XLOOKUP(sales[[#This Row],[Store_ID]],stores[Store_ID],stores[Store_Name])</f>
        <v>Chennai Store</v>
      </c>
      <c r="L180" t="str">
        <f>_xlfn.XLOOKUP(sales[[#This Row],[Customer_ID]],customers[Customer_ID],customers[Customer_Name])</f>
        <v>Rahul_4</v>
      </c>
      <c r="M180" t="str">
        <f>IF(sales[[#This Row],[Total_Amount]]&gt;=50000,"High Sales","Low Sales")</f>
        <v>High Sales</v>
      </c>
      <c r="N180">
        <f>sales[[#This Row],[Total_Amount]]/sales[[#This Row],[Quantity]]</f>
        <v>40602.120000000003</v>
      </c>
    </row>
    <row r="181" spans="1:14" x14ac:dyDescent="0.3">
      <c r="A181" t="s">
        <v>837</v>
      </c>
      <c r="B181">
        <v>1111</v>
      </c>
      <c r="C181" t="s">
        <v>96</v>
      </c>
      <c r="D181" t="s">
        <v>53</v>
      </c>
      <c r="E181" t="s">
        <v>672</v>
      </c>
      <c r="F181">
        <v>1</v>
      </c>
      <c r="G181">
        <v>69744.92</v>
      </c>
      <c r="H181" t="s">
        <v>558</v>
      </c>
      <c r="I181">
        <v>2026</v>
      </c>
      <c r="J181" t="str">
        <f>_xlfn.XLOOKUP(sales[[#This Row],[Product_ID]],products[Product_ID],products[Product_Name])</f>
        <v>Printer 13</v>
      </c>
      <c r="K181" t="str">
        <f>_xlfn.XLOOKUP(sales[[#This Row],[Store_ID]],stores[Store_ID],stores[Store_Name])</f>
        <v>Warangal Store</v>
      </c>
      <c r="L181" t="str">
        <f>_xlfn.XLOOKUP(sales[[#This Row],[Customer_ID]],customers[Customer_ID],customers[Customer_Name])</f>
        <v>Ravi_111</v>
      </c>
      <c r="M181" t="str">
        <f>IF(sales[[#This Row],[Total_Amount]]&gt;=50000,"High Sales","Low Sales")</f>
        <v>High Sales</v>
      </c>
      <c r="N181">
        <f>sales[[#This Row],[Total_Amount]]/sales[[#This Row],[Quantity]]</f>
        <v>69744.92</v>
      </c>
    </row>
    <row r="182" spans="1:14" x14ac:dyDescent="0.3">
      <c r="A182" t="s">
        <v>838</v>
      </c>
      <c r="B182">
        <v>1096</v>
      </c>
      <c r="C182" t="s">
        <v>120</v>
      </c>
      <c r="D182" t="s">
        <v>62</v>
      </c>
      <c r="E182" t="s">
        <v>839</v>
      </c>
      <c r="F182">
        <v>2</v>
      </c>
      <c r="G182">
        <v>1343.34</v>
      </c>
      <c r="H182" t="s">
        <v>528</v>
      </c>
      <c r="I182">
        <v>2025</v>
      </c>
      <c r="J182" t="str">
        <f>_xlfn.XLOOKUP(sales[[#This Row],[Product_ID]],products[Product_ID],products[Product_Name])</f>
        <v>Printer 25</v>
      </c>
      <c r="K182" t="str">
        <f>_xlfn.XLOOKUP(sales[[#This Row],[Store_ID]],stores[Store_ID],stores[Store_Name])</f>
        <v>Pune Store</v>
      </c>
      <c r="L182" t="str">
        <f>_xlfn.XLOOKUP(sales[[#This Row],[Customer_ID]],customers[Customer_ID],customers[Customer_Name])</f>
        <v>Akhil_96</v>
      </c>
      <c r="M182" t="str">
        <f>IF(sales[[#This Row],[Total_Amount]]&gt;=50000,"High Sales","Low Sales")</f>
        <v>Low Sales</v>
      </c>
      <c r="N182">
        <f>sales[[#This Row],[Total_Amount]]/sales[[#This Row],[Quantity]]</f>
        <v>671.67</v>
      </c>
    </row>
    <row r="183" spans="1:14" x14ac:dyDescent="0.3">
      <c r="A183" t="s">
        <v>840</v>
      </c>
      <c r="B183">
        <v>1158</v>
      </c>
      <c r="C183" t="s">
        <v>90</v>
      </c>
      <c r="D183" t="s">
        <v>53</v>
      </c>
      <c r="E183" t="s">
        <v>144</v>
      </c>
      <c r="F183">
        <v>2</v>
      </c>
      <c r="G183">
        <v>36141.22</v>
      </c>
      <c r="H183" t="s">
        <v>522</v>
      </c>
      <c r="I183">
        <v>2025</v>
      </c>
      <c r="J183" t="str">
        <f>_xlfn.XLOOKUP(sales[[#This Row],[Product_ID]],products[Product_ID],products[Product_Name])</f>
        <v>Camera 10</v>
      </c>
      <c r="K183" t="str">
        <f>_xlfn.XLOOKUP(sales[[#This Row],[Store_ID]],stores[Store_ID],stores[Store_Name])</f>
        <v>Warangal Store</v>
      </c>
      <c r="L183" t="str">
        <f>_xlfn.XLOOKUP(sales[[#This Row],[Customer_ID]],customers[Customer_ID],customers[Customer_Name])</f>
        <v>Akhil_158</v>
      </c>
      <c r="M183" t="str">
        <f>IF(sales[[#This Row],[Total_Amount]]&gt;=50000,"High Sales","Low Sales")</f>
        <v>Low Sales</v>
      </c>
      <c r="N183">
        <f>sales[[#This Row],[Total_Amount]]/sales[[#This Row],[Quantity]]</f>
        <v>18070.61</v>
      </c>
    </row>
    <row r="184" spans="1:14" x14ac:dyDescent="0.3">
      <c r="A184" t="s">
        <v>841</v>
      </c>
      <c r="B184">
        <v>1184</v>
      </c>
      <c r="C184" t="s">
        <v>120</v>
      </c>
      <c r="D184" t="s">
        <v>59</v>
      </c>
      <c r="E184" t="s">
        <v>842</v>
      </c>
      <c r="F184">
        <v>4</v>
      </c>
      <c r="G184">
        <v>3206.72</v>
      </c>
      <c r="H184" t="s">
        <v>525</v>
      </c>
      <c r="I184">
        <v>2026</v>
      </c>
      <c r="J184" t="str">
        <f>_xlfn.XLOOKUP(sales[[#This Row],[Product_ID]],products[Product_ID],products[Product_Name])</f>
        <v>Printer 25</v>
      </c>
      <c r="K184" t="str">
        <f>_xlfn.XLOOKUP(sales[[#This Row],[Store_ID]],stores[Store_ID],stores[Store_Name])</f>
        <v>Chennai Store</v>
      </c>
      <c r="L184" t="str">
        <f>_xlfn.XLOOKUP(sales[[#This Row],[Customer_ID]],customers[Customer_ID],customers[Customer_Name])</f>
        <v>Keerthi_184</v>
      </c>
      <c r="M184" t="str">
        <f>IF(sales[[#This Row],[Total_Amount]]&gt;=50000,"High Sales","Low Sales")</f>
        <v>Low Sales</v>
      </c>
      <c r="N184">
        <f>sales[[#This Row],[Total_Amount]]/sales[[#This Row],[Quantity]]</f>
        <v>801.68</v>
      </c>
    </row>
    <row r="185" spans="1:14" x14ac:dyDescent="0.3">
      <c r="A185" t="s">
        <v>843</v>
      </c>
      <c r="B185">
        <v>1182</v>
      </c>
      <c r="C185" t="s">
        <v>126</v>
      </c>
      <c r="D185" t="s">
        <v>48</v>
      </c>
      <c r="E185" t="s">
        <v>844</v>
      </c>
      <c r="F185">
        <v>5</v>
      </c>
      <c r="G185">
        <v>179756.9</v>
      </c>
      <c r="H185" t="s">
        <v>545</v>
      </c>
      <c r="I185">
        <v>2026</v>
      </c>
      <c r="J185" t="str">
        <f>_xlfn.XLOOKUP(sales[[#This Row],[Product_ID]],products[Product_ID],products[Product_Name])</f>
        <v>Router 28</v>
      </c>
      <c r="K185" t="str">
        <f>_xlfn.XLOOKUP(sales[[#This Row],[Store_ID]],stores[Store_ID],stores[Store_Name])</f>
        <v>Visakhapatnam Store</v>
      </c>
      <c r="L185" t="str">
        <f>_xlfn.XLOOKUP(sales[[#This Row],[Customer_ID]],customers[Customer_ID],customers[Customer_Name])</f>
        <v>Keerthi_182</v>
      </c>
      <c r="M185" t="str">
        <f>IF(sales[[#This Row],[Total_Amount]]&gt;=50000,"High Sales","Low Sales")</f>
        <v>High Sales</v>
      </c>
      <c r="N185">
        <f>sales[[#This Row],[Total_Amount]]/sales[[#This Row],[Quantity]]</f>
        <v>35951.379999999997</v>
      </c>
    </row>
    <row r="186" spans="1:14" x14ac:dyDescent="0.3">
      <c r="A186" t="s">
        <v>845</v>
      </c>
      <c r="B186">
        <v>1067</v>
      </c>
      <c r="C186" t="s">
        <v>122</v>
      </c>
      <c r="D186" t="s">
        <v>48</v>
      </c>
      <c r="E186" t="s">
        <v>254</v>
      </c>
      <c r="F186">
        <v>2</v>
      </c>
      <c r="G186">
        <v>24571.279999999999</v>
      </c>
      <c r="H186" t="s">
        <v>561</v>
      </c>
      <c r="I186">
        <v>2025</v>
      </c>
      <c r="J186" t="str">
        <f>_xlfn.XLOOKUP(sales[[#This Row],[Product_ID]],products[Product_ID],products[Product_Name])</f>
        <v>Router 26</v>
      </c>
      <c r="K186" t="str">
        <f>_xlfn.XLOOKUP(sales[[#This Row],[Store_ID]],stores[Store_ID],stores[Store_Name])</f>
        <v>Visakhapatnam Store</v>
      </c>
      <c r="L186" t="str">
        <f>_xlfn.XLOOKUP(sales[[#This Row],[Customer_ID]],customers[Customer_ID],customers[Customer_Name])</f>
        <v>Ramesh_67</v>
      </c>
      <c r="M186" t="str">
        <f>IF(sales[[#This Row],[Total_Amount]]&gt;=50000,"High Sales","Low Sales")</f>
        <v>Low Sales</v>
      </c>
      <c r="N186">
        <f>sales[[#This Row],[Total_Amount]]/sales[[#This Row],[Quantity]]</f>
        <v>12285.64</v>
      </c>
    </row>
    <row r="187" spans="1:14" x14ac:dyDescent="0.3">
      <c r="A187" t="s">
        <v>846</v>
      </c>
      <c r="B187">
        <v>1039</v>
      </c>
      <c r="C187" t="s">
        <v>100</v>
      </c>
      <c r="D187" t="s">
        <v>59</v>
      </c>
      <c r="E187" t="s">
        <v>641</v>
      </c>
      <c r="F187">
        <v>3</v>
      </c>
      <c r="G187">
        <v>217082.28</v>
      </c>
      <c r="H187" t="s">
        <v>572</v>
      </c>
      <c r="I187">
        <v>2025</v>
      </c>
      <c r="J187" t="str">
        <f>_xlfn.XLOOKUP(sales[[#This Row],[Product_ID]],products[Product_ID],products[Product_Name])</f>
        <v>Tablet 15</v>
      </c>
      <c r="K187" t="str">
        <f>_xlfn.XLOOKUP(sales[[#This Row],[Store_ID]],stores[Store_ID],stores[Store_Name])</f>
        <v>Chennai Store</v>
      </c>
      <c r="L187" t="str">
        <f>_xlfn.XLOOKUP(sales[[#This Row],[Customer_ID]],customers[Customer_ID],customers[Customer_Name])</f>
        <v>Ramesh_39</v>
      </c>
      <c r="M187" t="str">
        <f>IF(sales[[#This Row],[Total_Amount]]&gt;=50000,"High Sales","Low Sales")</f>
        <v>High Sales</v>
      </c>
      <c r="N187">
        <f>sales[[#This Row],[Total_Amount]]/sales[[#This Row],[Quantity]]</f>
        <v>72360.759999999995</v>
      </c>
    </row>
    <row r="188" spans="1:14" x14ac:dyDescent="0.3">
      <c r="A188" t="s">
        <v>847</v>
      </c>
      <c r="B188">
        <v>1138</v>
      </c>
      <c r="C188" t="s">
        <v>81</v>
      </c>
      <c r="D188" t="s">
        <v>59</v>
      </c>
      <c r="E188" t="s">
        <v>848</v>
      </c>
      <c r="F188">
        <v>2</v>
      </c>
      <c r="G188">
        <v>183958.32</v>
      </c>
      <c r="H188" t="s">
        <v>528</v>
      </c>
      <c r="I188">
        <v>2025</v>
      </c>
      <c r="J188" t="str">
        <f>_xlfn.XLOOKUP(sales[[#This Row],[Product_ID]],products[Product_ID],products[Product_Name])</f>
        <v>Camera 6</v>
      </c>
      <c r="K188" t="str">
        <f>_xlfn.XLOOKUP(sales[[#This Row],[Store_ID]],stores[Store_ID],stores[Store_Name])</f>
        <v>Chennai Store</v>
      </c>
      <c r="L188" t="str">
        <f>_xlfn.XLOOKUP(sales[[#This Row],[Customer_ID]],customers[Customer_ID],customers[Customer_Name])</f>
        <v>Rahul_138</v>
      </c>
      <c r="M188" t="str">
        <f>IF(sales[[#This Row],[Total_Amount]]&gt;=50000,"High Sales","Low Sales")</f>
        <v>High Sales</v>
      </c>
      <c r="N188">
        <f>sales[[#This Row],[Total_Amount]]/sales[[#This Row],[Quantity]]</f>
        <v>91979.16</v>
      </c>
    </row>
    <row r="189" spans="1:14" x14ac:dyDescent="0.3">
      <c r="A189" t="s">
        <v>849</v>
      </c>
      <c r="B189">
        <v>1188</v>
      </c>
      <c r="C189" t="s">
        <v>98</v>
      </c>
      <c r="D189" t="s">
        <v>50</v>
      </c>
      <c r="E189" t="s">
        <v>850</v>
      </c>
      <c r="F189">
        <v>2</v>
      </c>
      <c r="G189">
        <v>39642.46</v>
      </c>
      <c r="H189" t="s">
        <v>531</v>
      </c>
      <c r="I189">
        <v>2026</v>
      </c>
      <c r="J189" t="str">
        <f>_xlfn.XLOOKUP(sales[[#This Row],[Product_ID]],products[Product_ID],products[Product_Name])</f>
        <v>Camera 14</v>
      </c>
      <c r="K189" t="str">
        <f>_xlfn.XLOOKUP(sales[[#This Row],[Store_ID]],stores[Store_ID],stores[Store_Name])</f>
        <v>Guntur Store</v>
      </c>
      <c r="L189" t="str">
        <f>_xlfn.XLOOKUP(sales[[#This Row],[Customer_ID]],customers[Customer_ID],customers[Customer_Name])</f>
        <v>Rahul_188</v>
      </c>
      <c r="M189" t="str">
        <f>IF(sales[[#This Row],[Total_Amount]]&gt;=50000,"High Sales","Low Sales")</f>
        <v>Low Sales</v>
      </c>
      <c r="N189">
        <f>sales[[#This Row],[Total_Amount]]/sales[[#This Row],[Quantity]]</f>
        <v>19821.23</v>
      </c>
    </row>
    <row r="190" spans="1:14" x14ac:dyDescent="0.3">
      <c r="A190" t="s">
        <v>851</v>
      </c>
      <c r="B190">
        <v>1081</v>
      </c>
      <c r="C190" t="s">
        <v>90</v>
      </c>
      <c r="D190" t="s">
        <v>50</v>
      </c>
      <c r="E190" t="s">
        <v>852</v>
      </c>
      <c r="F190">
        <v>3</v>
      </c>
      <c r="G190">
        <v>273024.06</v>
      </c>
      <c r="H190" t="s">
        <v>528</v>
      </c>
      <c r="I190">
        <v>2025</v>
      </c>
      <c r="J190" t="str">
        <f>_xlfn.XLOOKUP(sales[[#This Row],[Product_ID]],products[Product_ID],products[Product_Name])</f>
        <v>Camera 10</v>
      </c>
      <c r="K190" t="str">
        <f>_xlfn.XLOOKUP(sales[[#This Row],[Store_ID]],stores[Store_ID],stores[Store_Name])</f>
        <v>Guntur Store</v>
      </c>
      <c r="L190" t="str">
        <f>_xlfn.XLOOKUP(sales[[#This Row],[Customer_ID]],customers[Customer_ID],customers[Customer_Name])</f>
        <v>Anjali_81</v>
      </c>
      <c r="M190" t="str">
        <f>IF(sales[[#This Row],[Total_Amount]]&gt;=50000,"High Sales","Low Sales")</f>
        <v>High Sales</v>
      </c>
      <c r="N190">
        <f>sales[[#This Row],[Total_Amount]]/sales[[#This Row],[Quantity]]</f>
        <v>91008.02</v>
      </c>
    </row>
    <row r="191" spans="1:14" x14ac:dyDescent="0.3">
      <c r="A191" t="s">
        <v>853</v>
      </c>
      <c r="B191">
        <v>1052</v>
      </c>
      <c r="C191" t="s">
        <v>92</v>
      </c>
      <c r="D191" t="s">
        <v>57</v>
      </c>
      <c r="E191" t="s">
        <v>854</v>
      </c>
      <c r="F191">
        <v>5</v>
      </c>
      <c r="G191">
        <v>110103.3</v>
      </c>
      <c r="H191" t="s">
        <v>528</v>
      </c>
      <c r="I191">
        <v>2025</v>
      </c>
      <c r="J191" t="str">
        <f>_xlfn.XLOOKUP(sales[[#This Row],[Product_ID]],products[Product_ID],products[Product_Name])</f>
        <v>Smartphone 11</v>
      </c>
      <c r="K191" t="str">
        <f>_xlfn.XLOOKUP(sales[[#This Row],[Store_ID]],stores[Store_ID],stores[Store_Name])</f>
        <v>Bengaluru Store</v>
      </c>
      <c r="L191" t="str">
        <f>_xlfn.XLOOKUP(sales[[#This Row],[Customer_ID]],customers[Customer_ID],customers[Customer_Name])</f>
        <v>Divya_52</v>
      </c>
      <c r="M191" t="str">
        <f>IF(sales[[#This Row],[Total_Amount]]&gt;=50000,"High Sales","Low Sales")</f>
        <v>High Sales</v>
      </c>
      <c r="N191">
        <f>sales[[#This Row],[Total_Amount]]/sales[[#This Row],[Quantity]]</f>
        <v>22020.66</v>
      </c>
    </row>
    <row r="192" spans="1:14" x14ac:dyDescent="0.3">
      <c r="A192" t="s">
        <v>855</v>
      </c>
      <c r="B192">
        <v>1199</v>
      </c>
      <c r="C192" t="s">
        <v>106</v>
      </c>
      <c r="D192" t="s">
        <v>48</v>
      </c>
      <c r="E192" t="s">
        <v>527</v>
      </c>
      <c r="F192">
        <v>1</v>
      </c>
      <c r="G192">
        <v>93250.09</v>
      </c>
      <c r="H192" t="s">
        <v>528</v>
      </c>
      <c r="I192">
        <v>2025</v>
      </c>
      <c r="J192" t="str">
        <f>_xlfn.XLOOKUP(sales[[#This Row],[Product_ID]],products[Product_ID],products[Product_Name])</f>
        <v>Microwave 18</v>
      </c>
      <c r="K192" t="str">
        <f>_xlfn.XLOOKUP(sales[[#This Row],[Store_ID]],stores[Store_ID],stores[Store_Name])</f>
        <v>Visakhapatnam Store</v>
      </c>
      <c r="L192" t="str">
        <f>_xlfn.XLOOKUP(sales[[#This Row],[Customer_ID]],customers[Customer_ID],customers[Customer_Name])</f>
        <v>Ravi_199</v>
      </c>
      <c r="M192" t="str">
        <f>IF(sales[[#This Row],[Total_Amount]]&gt;=50000,"High Sales","Low Sales")</f>
        <v>High Sales</v>
      </c>
      <c r="N192">
        <f>sales[[#This Row],[Total_Amount]]/sales[[#This Row],[Quantity]]</f>
        <v>93250.09</v>
      </c>
    </row>
    <row r="193" spans="1:14" x14ac:dyDescent="0.3">
      <c r="A193" t="s">
        <v>856</v>
      </c>
      <c r="B193">
        <v>1157</v>
      </c>
      <c r="C193" t="s">
        <v>130</v>
      </c>
      <c r="D193" t="s">
        <v>42</v>
      </c>
      <c r="E193" t="s">
        <v>857</v>
      </c>
      <c r="F193">
        <v>4</v>
      </c>
      <c r="G193">
        <v>132414.92000000001</v>
      </c>
      <c r="H193" t="s">
        <v>528</v>
      </c>
      <c r="I193">
        <v>2025</v>
      </c>
      <c r="J193" t="str">
        <f>_xlfn.XLOOKUP(sales[[#This Row],[Product_ID]],products[Product_ID],products[Product_Name])</f>
        <v>Monitor 30</v>
      </c>
      <c r="K193" t="str">
        <f>_xlfn.XLOOKUP(sales[[#This Row],[Store_ID]],stores[Store_ID],stores[Store_Name])</f>
        <v>Hyderabad Store</v>
      </c>
      <c r="L193" t="str">
        <f>_xlfn.XLOOKUP(sales[[#This Row],[Customer_ID]],customers[Customer_ID],customers[Customer_Name])</f>
        <v>Nikhil_157</v>
      </c>
      <c r="M193" t="str">
        <f>IF(sales[[#This Row],[Total_Amount]]&gt;=50000,"High Sales","Low Sales")</f>
        <v>High Sales</v>
      </c>
      <c r="N193">
        <f>sales[[#This Row],[Total_Amount]]/sales[[#This Row],[Quantity]]</f>
        <v>33103.730000000003</v>
      </c>
    </row>
    <row r="194" spans="1:14" x14ac:dyDescent="0.3">
      <c r="A194" t="s">
        <v>858</v>
      </c>
      <c r="B194">
        <v>1067</v>
      </c>
      <c r="C194" t="s">
        <v>122</v>
      </c>
      <c r="D194" t="s">
        <v>42</v>
      </c>
      <c r="E194" t="s">
        <v>859</v>
      </c>
      <c r="F194">
        <v>4</v>
      </c>
      <c r="G194">
        <v>170371.28</v>
      </c>
      <c r="H194" t="s">
        <v>558</v>
      </c>
      <c r="I194">
        <v>2025</v>
      </c>
      <c r="J194" t="str">
        <f>_xlfn.XLOOKUP(sales[[#This Row],[Product_ID]],products[Product_ID],products[Product_Name])</f>
        <v>Router 26</v>
      </c>
      <c r="K194" t="str">
        <f>_xlfn.XLOOKUP(sales[[#This Row],[Store_ID]],stores[Store_ID],stores[Store_Name])</f>
        <v>Hyderabad Store</v>
      </c>
      <c r="L194" t="str">
        <f>_xlfn.XLOOKUP(sales[[#This Row],[Customer_ID]],customers[Customer_ID],customers[Customer_Name])</f>
        <v>Ramesh_67</v>
      </c>
      <c r="M194" t="str">
        <f>IF(sales[[#This Row],[Total_Amount]]&gt;=50000,"High Sales","Low Sales")</f>
        <v>High Sales</v>
      </c>
      <c r="N194">
        <f>sales[[#This Row],[Total_Amount]]/sales[[#This Row],[Quantity]]</f>
        <v>42592.82</v>
      </c>
    </row>
    <row r="195" spans="1:14" x14ac:dyDescent="0.3">
      <c r="A195" t="s">
        <v>860</v>
      </c>
      <c r="B195">
        <v>1092</v>
      </c>
      <c r="C195" t="s">
        <v>126</v>
      </c>
      <c r="D195" t="s">
        <v>62</v>
      </c>
      <c r="E195" t="s">
        <v>154</v>
      </c>
      <c r="F195">
        <v>4</v>
      </c>
      <c r="G195">
        <v>30578.400000000001</v>
      </c>
      <c r="H195" t="s">
        <v>545</v>
      </c>
      <c r="I195">
        <v>2025</v>
      </c>
      <c r="J195" t="str">
        <f>_xlfn.XLOOKUP(sales[[#This Row],[Product_ID]],products[Product_ID],products[Product_Name])</f>
        <v>Router 28</v>
      </c>
      <c r="K195" t="str">
        <f>_xlfn.XLOOKUP(sales[[#This Row],[Store_ID]],stores[Store_ID],stores[Store_Name])</f>
        <v>Pune Store</v>
      </c>
      <c r="L195" t="str">
        <f>_xlfn.XLOOKUP(sales[[#This Row],[Customer_ID]],customers[Customer_ID],customers[Customer_Name])</f>
        <v>Priya_92</v>
      </c>
      <c r="M195" t="str">
        <f>IF(sales[[#This Row],[Total_Amount]]&gt;=50000,"High Sales","Low Sales")</f>
        <v>Low Sales</v>
      </c>
      <c r="N195">
        <f>sales[[#This Row],[Total_Amount]]/sales[[#This Row],[Quantity]]</f>
        <v>7644.6</v>
      </c>
    </row>
    <row r="196" spans="1:14" x14ac:dyDescent="0.3">
      <c r="A196" t="s">
        <v>861</v>
      </c>
      <c r="B196">
        <v>1065</v>
      </c>
      <c r="C196" t="s">
        <v>114</v>
      </c>
      <c r="D196" t="s">
        <v>59</v>
      </c>
      <c r="E196" t="s">
        <v>862</v>
      </c>
      <c r="F196">
        <v>3</v>
      </c>
      <c r="G196">
        <v>275434.89</v>
      </c>
      <c r="H196" t="s">
        <v>545</v>
      </c>
      <c r="I196">
        <v>2026</v>
      </c>
      <c r="J196" t="str">
        <f>_xlfn.XLOOKUP(sales[[#This Row],[Product_ID]],products[Product_ID],products[Product_Name])</f>
        <v>Mixer 22</v>
      </c>
      <c r="K196" t="str">
        <f>_xlfn.XLOOKUP(sales[[#This Row],[Store_ID]],stores[Store_ID],stores[Store_Name])</f>
        <v>Chennai Store</v>
      </c>
      <c r="L196" t="str">
        <f>_xlfn.XLOOKUP(sales[[#This Row],[Customer_ID]],customers[Customer_ID],customers[Customer_Name])</f>
        <v>Vikram_65</v>
      </c>
      <c r="M196" t="str">
        <f>IF(sales[[#This Row],[Total_Amount]]&gt;=50000,"High Sales","Low Sales")</f>
        <v>High Sales</v>
      </c>
      <c r="N196">
        <f>sales[[#This Row],[Total_Amount]]/sales[[#This Row],[Quantity]]</f>
        <v>91811.63</v>
      </c>
    </row>
    <row r="197" spans="1:14" x14ac:dyDescent="0.3">
      <c r="A197" t="s">
        <v>863</v>
      </c>
      <c r="B197">
        <v>1109</v>
      </c>
      <c r="C197" t="s">
        <v>128</v>
      </c>
      <c r="D197" t="s">
        <v>62</v>
      </c>
      <c r="E197" t="s">
        <v>864</v>
      </c>
      <c r="F197">
        <v>5</v>
      </c>
      <c r="G197">
        <v>303750.84999999998</v>
      </c>
      <c r="H197" t="s">
        <v>545</v>
      </c>
      <c r="I197">
        <v>2026</v>
      </c>
      <c r="J197" t="str">
        <f>_xlfn.XLOOKUP(sales[[#This Row],[Product_ID]],products[Product_ID],products[Product_Name])</f>
        <v>Printer 29</v>
      </c>
      <c r="K197" t="str">
        <f>_xlfn.XLOOKUP(sales[[#This Row],[Store_ID]],stores[Store_ID],stores[Store_Name])</f>
        <v>Pune Store</v>
      </c>
      <c r="L197" t="str">
        <f>_xlfn.XLOOKUP(sales[[#This Row],[Customer_ID]],customers[Customer_ID],customers[Customer_Name])</f>
        <v>Sita_109</v>
      </c>
      <c r="M197" t="str">
        <f>IF(sales[[#This Row],[Total_Amount]]&gt;=50000,"High Sales","Low Sales")</f>
        <v>High Sales</v>
      </c>
      <c r="N197">
        <f>sales[[#This Row],[Total_Amount]]/sales[[#This Row],[Quantity]]</f>
        <v>60750.17</v>
      </c>
    </row>
    <row r="198" spans="1:14" x14ac:dyDescent="0.3">
      <c r="A198" t="s">
        <v>865</v>
      </c>
      <c r="B198">
        <v>1164</v>
      </c>
      <c r="C198" t="s">
        <v>92</v>
      </c>
      <c r="D198" t="s">
        <v>50</v>
      </c>
      <c r="E198" t="s">
        <v>866</v>
      </c>
      <c r="F198">
        <v>3</v>
      </c>
      <c r="G198">
        <v>292590.24</v>
      </c>
      <c r="H198" t="s">
        <v>525</v>
      </c>
      <c r="I198">
        <v>2026</v>
      </c>
      <c r="J198" t="str">
        <f>_xlfn.XLOOKUP(sales[[#This Row],[Product_ID]],products[Product_ID],products[Product_Name])</f>
        <v>Smartphone 11</v>
      </c>
      <c r="K198" t="str">
        <f>_xlfn.XLOOKUP(sales[[#This Row],[Store_ID]],stores[Store_ID],stores[Store_Name])</f>
        <v>Guntur Store</v>
      </c>
      <c r="L198" t="str">
        <f>_xlfn.XLOOKUP(sales[[#This Row],[Customer_ID]],customers[Customer_ID],customers[Customer_Name])</f>
        <v>Anjali_164</v>
      </c>
      <c r="M198" t="str">
        <f>IF(sales[[#This Row],[Total_Amount]]&gt;=50000,"High Sales","Low Sales")</f>
        <v>High Sales</v>
      </c>
      <c r="N198">
        <f>sales[[#This Row],[Total_Amount]]/sales[[#This Row],[Quantity]]</f>
        <v>97530.08</v>
      </c>
    </row>
    <row r="199" spans="1:14" x14ac:dyDescent="0.3">
      <c r="A199" t="s">
        <v>867</v>
      </c>
      <c r="B199">
        <v>1192</v>
      </c>
      <c r="C199" t="s">
        <v>120</v>
      </c>
      <c r="D199" t="s">
        <v>59</v>
      </c>
      <c r="E199" t="s">
        <v>868</v>
      </c>
      <c r="F199">
        <v>4</v>
      </c>
      <c r="G199">
        <v>225545.88</v>
      </c>
      <c r="H199" t="s">
        <v>540</v>
      </c>
      <c r="I199">
        <v>2025</v>
      </c>
      <c r="J199" t="str">
        <f>_xlfn.XLOOKUP(sales[[#This Row],[Product_ID]],products[Product_ID],products[Product_Name])</f>
        <v>Printer 25</v>
      </c>
      <c r="K199" t="str">
        <f>_xlfn.XLOOKUP(sales[[#This Row],[Store_ID]],stores[Store_ID],stores[Store_Name])</f>
        <v>Chennai Store</v>
      </c>
      <c r="L199" t="str">
        <f>_xlfn.XLOOKUP(sales[[#This Row],[Customer_ID]],customers[Customer_ID],customers[Customer_Name])</f>
        <v>Ravi_192</v>
      </c>
      <c r="M199" t="str">
        <f>IF(sales[[#This Row],[Total_Amount]]&gt;=50000,"High Sales","Low Sales")</f>
        <v>High Sales</v>
      </c>
      <c r="N199">
        <f>sales[[#This Row],[Total_Amount]]/sales[[#This Row],[Quantity]]</f>
        <v>56386.47</v>
      </c>
    </row>
    <row r="200" spans="1:14" x14ac:dyDescent="0.3">
      <c r="A200" t="s">
        <v>869</v>
      </c>
      <c r="B200">
        <v>1044</v>
      </c>
      <c r="C200" t="s">
        <v>69</v>
      </c>
      <c r="D200" t="s">
        <v>59</v>
      </c>
      <c r="E200" t="s">
        <v>870</v>
      </c>
      <c r="F200">
        <v>4</v>
      </c>
      <c r="G200">
        <v>475701.96</v>
      </c>
      <c r="H200" t="s">
        <v>561</v>
      </c>
      <c r="I200">
        <v>2025</v>
      </c>
      <c r="J200" t="str">
        <f>_xlfn.XLOOKUP(sales[[#This Row],[Product_ID]],products[Product_ID],products[Product_Name])</f>
        <v>Headphones 1</v>
      </c>
      <c r="K200" t="str">
        <f>_xlfn.XLOOKUP(sales[[#This Row],[Store_ID]],stores[Store_ID],stores[Store_Name])</f>
        <v>Chennai Store</v>
      </c>
      <c r="L200" t="str">
        <f>_xlfn.XLOOKUP(sales[[#This Row],[Customer_ID]],customers[Customer_ID],customers[Customer_Name])</f>
        <v>Sita_44</v>
      </c>
      <c r="M200" t="str">
        <f>IF(sales[[#This Row],[Total_Amount]]&gt;=50000,"High Sales","Low Sales")</f>
        <v>High Sales</v>
      </c>
      <c r="N200">
        <f>sales[[#This Row],[Total_Amount]]/sales[[#This Row],[Quantity]]</f>
        <v>118925.49</v>
      </c>
    </row>
    <row r="201" spans="1:14" x14ac:dyDescent="0.3">
      <c r="A201" t="s">
        <v>871</v>
      </c>
      <c r="B201">
        <v>1014</v>
      </c>
      <c r="C201" t="s">
        <v>112</v>
      </c>
      <c r="D201" t="s">
        <v>42</v>
      </c>
      <c r="E201" t="s">
        <v>872</v>
      </c>
      <c r="F201">
        <v>2</v>
      </c>
      <c r="G201">
        <v>124655.88</v>
      </c>
      <c r="H201" t="s">
        <v>525</v>
      </c>
      <c r="I201">
        <v>2025</v>
      </c>
      <c r="J201" t="str">
        <f>_xlfn.XLOOKUP(sales[[#This Row],[Product_ID]],products[Product_ID],products[Product_Name])</f>
        <v>Monitor 21</v>
      </c>
      <c r="K201" t="str">
        <f>_xlfn.XLOOKUP(sales[[#This Row],[Store_ID]],stores[Store_ID],stores[Store_Name])</f>
        <v>Hyderabad Store</v>
      </c>
      <c r="L201" t="str">
        <f>_xlfn.XLOOKUP(sales[[#This Row],[Customer_ID]],customers[Customer_ID],customers[Customer_Name])</f>
        <v>Arjun_14</v>
      </c>
      <c r="M201" t="str">
        <f>IF(sales[[#This Row],[Total_Amount]]&gt;=50000,"High Sales","Low Sales")</f>
        <v>High Sales</v>
      </c>
      <c r="N201">
        <f>sales[[#This Row],[Total_Amount]]/sales[[#This Row],[Quantity]]</f>
        <v>62327.94</v>
      </c>
    </row>
    <row r="202" spans="1:14" x14ac:dyDescent="0.3">
      <c r="A202" t="s">
        <v>873</v>
      </c>
      <c r="B202">
        <v>1124</v>
      </c>
      <c r="C202" t="s">
        <v>104</v>
      </c>
      <c r="D202" t="s">
        <v>62</v>
      </c>
      <c r="E202" t="s">
        <v>249</v>
      </c>
      <c r="F202">
        <v>3</v>
      </c>
      <c r="G202">
        <v>357650.34</v>
      </c>
      <c r="H202" t="s">
        <v>558</v>
      </c>
      <c r="I202">
        <v>2025</v>
      </c>
      <c r="J202" t="str">
        <f>_xlfn.XLOOKUP(sales[[#This Row],[Product_ID]],products[Product_ID],products[Product_Name])</f>
        <v>Mixer 17</v>
      </c>
      <c r="K202" t="str">
        <f>_xlfn.XLOOKUP(sales[[#This Row],[Store_ID]],stores[Store_ID],stores[Store_Name])</f>
        <v>Pune Store</v>
      </c>
      <c r="L202" t="str">
        <f>_xlfn.XLOOKUP(sales[[#This Row],[Customer_ID]],customers[Customer_ID],customers[Customer_Name])</f>
        <v>Divya_124</v>
      </c>
      <c r="M202" t="str">
        <f>IF(sales[[#This Row],[Total_Amount]]&gt;=50000,"High Sales","Low Sales")</f>
        <v>High Sales</v>
      </c>
      <c r="N202">
        <f>sales[[#This Row],[Total_Amount]]/sales[[#This Row],[Quantity]]</f>
        <v>119216.78000000001</v>
      </c>
    </row>
    <row r="203" spans="1:14" x14ac:dyDescent="0.3">
      <c r="A203" t="s">
        <v>874</v>
      </c>
      <c r="B203">
        <v>1067</v>
      </c>
      <c r="C203" t="s">
        <v>118</v>
      </c>
      <c r="D203" t="s">
        <v>57</v>
      </c>
      <c r="E203" t="s">
        <v>875</v>
      </c>
      <c r="F203">
        <v>2</v>
      </c>
      <c r="G203">
        <v>65666</v>
      </c>
      <c r="H203" t="s">
        <v>540</v>
      </c>
      <c r="I203">
        <v>2025</v>
      </c>
      <c r="J203" t="str">
        <f>_xlfn.XLOOKUP(sales[[#This Row],[Product_ID]],products[Product_ID],products[Product_Name])</f>
        <v>Tablet 24</v>
      </c>
      <c r="K203" t="str">
        <f>_xlfn.XLOOKUP(sales[[#This Row],[Store_ID]],stores[Store_ID],stores[Store_Name])</f>
        <v>Bengaluru Store</v>
      </c>
      <c r="L203" t="str">
        <f>_xlfn.XLOOKUP(sales[[#This Row],[Customer_ID]],customers[Customer_ID],customers[Customer_Name])</f>
        <v>Ramesh_67</v>
      </c>
      <c r="M203" t="str">
        <f>IF(sales[[#This Row],[Total_Amount]]&gt;=50000,"High Sales","Low Sales")</f>
        <v>High Sales</v>
      </c>
      <c r="N203">
        <f>sales[[#This Row],[Total_Amount]]/sales[[#This Row],[Quantity]]</f>
        <v>32833</v>
      </c>
    </row>
    <row r="204" spans="1:14" x14ac:dyDescent="0.3">
      <c r="A204" t="s">
        <v>876</v>
      </c>
      <c r="B204">
        <v>1074</v>
      </c>
      <c r="C204" t="s">
        <v>128</v>
      </c>
      <c r="D204" t="s">
        <v>57</v>
      </c>
      <c r="E204" t="s">
        <v>827</v>
      </c>
      <c r="F204">
        <v>5</v>
      </c>
      <c r="G204">
        <v>378250.5</v>
      </c>
      <c r="H204" t="s">
        <v>572</v>
      </c>
      <c r="I204">
        <v>2025</v>
      </c>
      <c r="J204" t="str">
        <f>_xlfn.XLOOKUP(sales[[#This Row],[Product_ID]],products[Product_ID],products[Product_Name])</f>
        <v>Printer 29</v>
      </c>
      <c r="K204" t="str">
        <f>_xlfn.XLOOKUP(sales[[#This Row],[Store_ID]],stores[Store_ID],stores[Store_Name])</f>
        <v>Bengaluru Store</v>
      </c>
      <c r="L204" t="str">
        <f>_xlfn.XLOOKUP(sales[[#This Row],[Customer_ID]],customers[Customer_ID],customers[Customer_Name])</f>
        <v>Sita_74</v>
      </c>
      <c r="M204" t="str">
        <f>IF(sales[[#This Row],[Total_Amount]]&gt;=50000,"High Sales","Low Sales")</f>
        <v>High Sales</v>
      </c>
      <c r="N204">
        <f>sales[[#This Row],[Total_Amount]]/sales[[#This Row],[Quantity]]</f>
        <v>75650.100000000006</v>
      </c>
    </row>
    <row r="205" spans="1:14" x14ac:dyDescent="0.3">
      <c r="A205" t="s">
        <v>877</v>
      </c>
      <c r="B205">
        <v>1093</v>
      </c>
      <c r="C205" t="s">
        <v>69</v>
      </c>
      <c r="D205" t="s">
        <v>57</v>
      </c>
      <c r="E205" t="s">
        <v>878</v>
      </c>
      <c r="F205">
        <v>4</v>
      </c>
      <c r="G205">
        <v>320582.8</v>
      </c>
      <c r="H205" t="s">
        <v>545</v>
      </c>
      <c r="I205">
        <v>2025</v>
      </c>
      <c r="J205" t="str">
        <f>_xlfn.XLOOKUP(sales[[#This Row],[Product_ID]],products[Product_ID],products[Product_Name])</f>
        <v>Headphones 1</v>
      </c>
      <c r="K205" t="str">
        <f>_xlfn.XLOOKUP(sales[[#This Row],[Store_ID]],stores[Store_ID],stores[Store_Name])</f>
        <v>Bengaluru Store</v>
      </c>
      <c r="L205" t="str">
        <f>_xlfn.XLOOKUP(sales[[#This Row],[Customer_ID]],customers[Customer_ID],customers[Customer_Name])</f>
        <v>Arjun_93</v>
      </c>
      <c r="M205" t="str">
        <f>IF(sales[[#This Row],[Total_Amount]]&gt;=50000,"High Sales","Low Sales")</f>
        <v>High Sales</v>
      </c>
      <c r="N205">
        <f>sales[[#This Row],[Total_Amount]]/sales[[#This Row],[Quantity]]</f>
        <v>80145.7</v>
      </c>
    </row>
    <row r="206" spans="1:14" x14ac:dyDescent="0.3">
      <c r="A206" t="s">
        <v>879</v>
      </c>
      <c r="B206">
        <v>1129</v>
      </c>
      <c r="C206" t="s">
        <v>90</v>
      </c>
      <c r="D206" t="s">
        <v>42</v>
      </c>
      <c r="E206" t="s">
        <v>880</v>
      </c>
      <c r="F206">
        <v>4</v>
      </c>
      <c r="G206">
        <v>394844.92</v>
      </c>
      <c r="H206" t="s">
        <v>561</v>
      </c>
      <c r="I206">
        <v>2025</v>
      </c>
      <c r="J206" t="str">
        <f>_xlfn.XLOOKUP(sales[[#This Row],[Product_ID]],products[Product_ID],products[Product_Name])</f>
        <v>Camera 10</v>
      </c>
      <c r="K206" t="str">
        <f>_xlfn.XLOOKUP(sales[[#This Row],[Store_ID]],stores[Store_ID],stores[Store_Name])</f>
        <v>Hyderabad Store</v>
      </c>
      <c r="L206" t="str">
        <f>_xlfn.XLOOKUP(sales[[#This Row],[Customer_ID]],customers[Customer_ID],customers[Customer_Name])</f>
        <v>Sita_129</v>
      </c>
      <c r="M206" t="str">
        <f>IF(sales[[#This Row],[Total_Amount]]&gt;=50000,"High Sales","Low Sales")</f>
        <v>High Sales</v>
      </c>
      <c r="N206">
        <f>sales[[#This Row],[Total_Amount]]/sales[[#This Row],[Quantity]]</f>
        <v>98711.23</v>
      </c>
    </row>
    <row r="207" spans="1:14" x14ac:dyDescent="0.3">
      <c r="A207" t="s">
        <v>881</v>
      </c>
      <c r="B207">
        <v>1043</v>
      </c>
      <c r="C207" t="s">
        <v>72</v>
      </c>
      <c r="D207" t="s">
        <v>62</v>
      </c>
      <c r="E207" t="s">
        <v>146</v>
      </c>
      <c r="F207">
        <v>4</v>
      </c>
      <c r="G207">
        <v>384054.64</v>
      </c>
      <c r="H207" t="s">
        <v>531</v>
      </c>
      <c r="I207">
        <v>2025</v>
      </c>
      <c r="J207" t="str">
        <f>_xlfn.XLOOKUP(sales[[#This Row],[Product_ID]],products[Product_ID],products[Product_Name])</f>
        <v>Headphones 2</v>
      </c>
      <c r="K207" t="str">
        <f>_xlfn.XLOOKUP(sales[[#This Row],[Store_ID]],stores[Store_ID],stores[Store_Name])</f>
        <v>Pune Store</v>
      </c>
      <c r="L207" t="str">
        <f>_xlfn.XLOOKUP(sales[[#This Row],[Customer_ID]],customers[Customer_ID],customers[Customer_Name])</f>
        <v>Pooja_43</v>
      </c>
      <c r="M207" t="str">
        <f>IF(sales[[#This Row],[Total_Amount]]&gt;=50000,"High Sales","Low Sales")</f>
        <v>High Sales</v>
      </c>
      <c r="N207">
        <f>sales[[#This Row],[Total_Amount]]/sales[[#This Row],[Quantity]]</f>
        <v>96013.66</v>
      </c>
    </row>
    <row r="208" spans="1:14" x14ac:dyDescent="0.3">
      <c r="A208" t="s">
        <v>882</v>
      </c>
      <c r="B208">
        <v>1020</v>
      </c>
      <c r="C208" t="s">
        <v>100</v>
      </c>
      <c r="D208" t="s">
        <v>46</v>
      </c>
      <c r="E208" t="s">
        <v>218</v>
      </c>
      <c r="F208">
        <v>2</v>
      </c>
      <c r="G208">
        <v>206740.2</v>
      </c>
      <c r="H208" t="s">
        <v>534</v>
      </c>
      <c r="I208">
        <v>2025</v>
      </c>
      <c r="J208" t="str">
        <f>_xlfn.XLOOKUP(sales[[#This Row],[Product_ID]],products[Product_ID],products[Product_Name])</f>
        <v>Tablet 15</v>
      </c>
      <c r="K208" t="str">
        <f>_xlfn.XLOOKUP(sales[[#This Row],[Store_ID]],stores[Store_ID],stores[Store_Name])</f>
        <v>Vijayawada Store</v>
      </c>
      <c r="L208" t="str">
        <f>_xlfn.XLOOKUP(sales[[#This Row],[Customer_ID]],customers[Customer_ID],customers[Customer_Name])</f>
        <v>Nikhil_20</v>
      </c>
      <c r="M208" t="str">
        <f>IF(sales[[#This Row],[Total_Amount]]&gt;=50000,"High Sales","Low Sales")</f>
        <v>High Sales</v>
      </c>
      <c r="N208">
        <f>sales[[#This Row],[Total_Amount]]/sales[[#This Row],[Quantity]]</f>
        <v>103370.1</v>
      </c>
    </row>
    <row r="209" spans="1:14" x14ac:dyDescent="0.3">
      <c r="A209" t="s">
        <v>883</v>
      </c>
      <c r="B209">
        <v>1183</v>
      </c>
      <c r="C209" t="s">
        <v>72</v>
      </c>
      <c r="D209" t="s">
        <v>42</v>
      </c>
      <c r="E209" t="s">
        <v>801</v>
      </c>
      <c r="F209">
        <v>3</v>
      </c>
      <c r="G209">
        <v>235800.9</v>
      </c>
      <c r="H209" t="s">
        <v>531</v>
      </c>
      <c r="I209">
        <v>2026</v>
      </c>
      <c r="J209" t="str">
        <f>_xlfn.XLOOKUP(sales[[#This Row],[Product_ID]],products[Product_ID],products[Product_Name])</f>
        <v>Headphones 2</v>
      </c>
      <c r="K209" t="str">
        <f>_xlfn.XLOOKUP(sales[[#This Row],[Store_ID]],stores[Store_ID],stores[Store_Name])</f>
        <v>Hyderabad Store</v>
      </c>
      <c r="L209" t="str">
        <f>_xlfn.XLOOKUP(sales[[#This Row],[Customer_ID]],customers[Customer_ID],customers[Customer_Name])</f>
        <v>Sita_183</v>
      </c>
      <c r="M209" t="str">
        <f>IF(sales[[#This Row],[Total_Amount]]&gt;=50000,"High Sales","Low Sales")</f>
        <v>High Sales</v>
      </c>
      <c r="N209">
        <f>sales[[#This Row],[Total_Amount]]/sales[[#This Row],[Quantity]]</f>
        <v>78600.3</v>
      </c>
    </row>
    <row r="210" spans="1:14" x14ac:dyDescent="0.3">
      <c r="A210" t="s">
        <v>884</v>
      </c>
      <c r="B210">
        <v>1185</v>
      </c>
      <c r="C210" t="s">
        <v>75</v>
      </c>
      <c r="D210" t="s">
        <v>48</v>
      </c>
      <c r="E210" t="s">
        <v>885</v>
      </c>
      <c r="F210">
        <v>2</v>
      </c>
      <c r="G210">
        <v>186119.1</v>
      </c>
      <c r="H210" t="s">
        <v>561</v>
      </c>
      <c r="I210">
        <v>2025</v>
      </c>
      <c r="J210" t="str">
        <f>_xlfn.XLOOKUP(sales[[#This Row],[Product_ID]],products[Product_ID],products[Product_Name])</f>
        <v>Smart Watch 3</v>
      </c>
      <c r="K210" t="str">
        <f>_xlfn.XLOOKUP(sales[[#This Row],[Store_ID]],stores[Store_ID],stores[Store_Name])</f>
        <v>Visakhapatnam Store</v>
      </c>
      <c r="L210" t="str">
        <f>_xlfn.XLOOKUP(sales[[#This Row],[Customer_ID]],customers[Customer_ID],customers[Customer_Name])</f>
        <v>Akhil_185</v>
      </c>
      <c r="M210" t="str">
        <f>IF(sales[[#This Row],[Total_Amount]]&gt;=50000,"High Sales","Low Sales")</f>
        <v>High Sales</v>
      </c>
      <c r="N210">
        <f>sales[[#This Row],[Total_Amount]]/sales[[#This Row],[Quantity]]</f>
        <v>93059.55</v>
      </c>
    </row>
    <row r="211" spans="1:14" x14ac:dyDescent="0.3">
      <c r="A211" t="s">
        <v>886</v>
      </c>
      <c r="B211">
        <v>1012</v>
      </c>
      <c r="C211" t="s">
        <v>112</v>
      </c>
      <c r="D211" t="s">
        <v>46</v>
      </c>
      <c r="E211" t="s">
        <v>887</v>
      </c>
      <c r="F211">
        <v>5</v>
      </c>
      <c r="G211">
        <v>376426.55</v>
      </c>
      <c r="H211" t="s">
        <v>575</v>
      </c>
      <c r="I211">
        <v>2026</v>
      </c>
      <c r="J211" t="str">
        <f>_xlfn.XLOOKUP(sales[[#This Row],[Product_ID]],products[Product_ID],products[Product_Name])</f>
        <v>Monitor 21</v>
      </c>
      <c r="K211" t="str">
        <f>_xlfn.XLOOKUP(sales[[#This Row],[Store_ID]],stores[Store_ID],stores[Store_Name])</f>
        <v>Vijayawada Store</v>
      </c>
      <c r="L211" t="str">
        <f>_xlfn.XLOOKUP(sales[[#This Row],[Customer_ID]],customers[Customer_ID],customers[Customer_Name])</f>
        <v>Anjali_12</v>
      </c>
      <c r="M211" t="str">
        <f>IF(sales[[#This Row],[Total_Amount]]&gt;=50000,"High Sales","Low Sales")</f>
        <v>High Sales</v>
      </c>
      <c r="N211">
        <f>sales[[#This Row],[Total_Amount]]/sales[[#This Row],[Quantity]]</f>
        <v>75285.31</v>
      </c>
    </row>
    <row r="212" spans="1:14" x14ac:dyDescent="0.3">
      <c r="A212" t="s">
        <v>888</v>
      </c>
      <c r="B212">
        <v>1013</v>
      </c>
      <c r="C212" t="s">
        <v>108</v>
      </c>
      <c r="D212" t="s">
        <v>50</v>
      </c>
      <c r="E212" t="s">
        <v>737</v>
      </c>
      <c r="F212">
        <v>1</v>
      </c>
      <c r="G212">
        <v>43789.3</v>
      </c>
      <c r="H212" t="s">
        <v>558</v>
      </c>
      <c r="I212">
        <v>2025</v>
      </c>
      <c r="J212" t="str">
        <f>_xlfn.XLOOKUP(sales[[#This Row],[Product_ID]],products[Product_ID],products[Product_Name])</f>
        <v>Mouse 19</v>
      </c>
      <c r="K212" t="str">
        <f>_xlfn.XLOOKUP(sales[[#This Row],[Store_ID]],stores[Store_ID],stores[Store_Name])</f>
        <v>Guntur Store</v>
      </c>
      <c r="L212" t="str">
        <f>_xlfn.XLOOKUP(sales[[#This Row],[Customer_ID]],customers[Customer_ID],customers[Customer_Name])</f>
        <v>Anjali_13</v>
      </c>
      <c r="M212" t="str">
        <f>IF(sales[[#This Row],[Total_Amount]]&gt;=50000,"High Sales","Low Sales")</f>
        <v>Low Sales</v>
      </c>
      <c r="N212">
        <f>sales[[#This Row],[Total_Amount]]/sales[[#This Row],[Quantity]]</f>
        <v>43789.3</v>
      </c>
    </row>
    <row r="213" spans="1:14" x14ac:dyDescent="0.3">
      <c r="A213" t="s">
        <v>889</v>
      </c>
      <c r="B213">
        <v>1157</v>
      </c>
      <c r="C213" t="s">
        <v>84</v>
      </c>
      <c r="D213" t="s">
        <v>57</v>
      </c>
      <c r="E213" t="s">
        <v>890</v>
      </c>
      <c r="F213">
        <v>3</v>
      </c>
      <c r="G213">
        <v>138289.59</v>
      </c>
      <c r="H213" t="s">
        <v>534</v>
      </c>
      <c r="I213">
        <v>2025</v>
      </c>
      <c r="J213" t="str">
        <f>_xlfn.XLOOKUP(sales[[#This Row],[Product_ID]],products[Product_ID],products[Product_Name])</f>
        <v>Headphones 7</v>
      </c>
      <c r="K213" t="str">
        <f>_xlfn.XLOOKUP(sales[[#This Row],[Store_ID]],stores[Store_ID],stores[Store_Name])</f>
        <v>Bengaluru Store</v>
      </c>
      <c r="L213" t="str">
        <f>_xlfn.XLOOKUP(sales[[#This Row],[Customer_ID]],customers[Customer_ID],customers[Customer_Name])</f>
        <v>Nikhil_157</v>
      </c>
      <c r="M213" t="str">
        <f>IF(sales[[#This Row],[Total_Amount]]&gt;=50000,"High Sales","Low Sales")</f>
        <v>High Sales</v>
      </c>
      <c r="N213">
        <f>sales[[#This Row],[Total_Amount]]/sales[[#This Row],[Quantity]]</f>
        <v>46096.53</v>
      </c>
    </row>
    <row r="214" spans="1:14" x14ac:dyDescent="0.3">
      <c r="A214" t="s">
        <v>891</v>
      </c>
      <c r="B214">
        <v>1175</v>
      </c>
      <c r="C214" t="s">
        <v>72</v>
      </c>
      <c r="D214" t="s">
        <v>62</v>
      </c>
      <c r="E214" t="s">
        <v>844</v>
      </c>
      <c r="F214">
        <v>1</v>
      </c>
      <c r="G214">
        <v>47548.57</v>
      </c>
      <c r="H214" t="s">
        <v>545</v>
      </c>
      <c r="I214">
        <v>2026</v>
      </c>
      <c r="J214" t="str">
        <f>_xlfn.XLOOKUP(sales[[#This Row],[Product_ID]],products[Product_ID],products[Product_Name])</f>
        <v>Headphones 2</v>
      </c>
      <c r="K214" t="str">
        <f>_xlfn.XLOOKUP(sales[[#This Row],[Store_ID]],stores[Store_ID],stores[Store_Name])</f>
        <v>Pune Store</v>
      </c>
      <c r="L214" t="str">
        <f>_xlfn.XLOOKUP(sales[[#This Row],[Customer_ID]],customers[Customer_ID],customers[Customer_Name])</f>
        <v>Ramesh_175</v>
      </c>
      <c r="M214" t="str">
        <f>IF(sales[[#This Row],[Total_Amount]]&gt;=50000,"High Sales","Low Sales")</f>
        <v>Low Sales</v>
      </c>
      <c r="N214">
        <f>sales[[#This Row],[Total_Amount]]/sales[[#This Row],[Quantity]]</f>
        <v>47548.57</v>
      </c>
    </row>
    <row r="215" spans="1:14" x14ac:dyDescent="0.3">
      <c r="A215" t="s">
        <v>892</v>
      </c>
      <c r="B215">
        <v>1149</v>
      </c>
      <c r="C215" t="s">
        <v>69</v>
      </c>
      <c r="D215" t="s">
        <v>53</v>
      </c>
      <c r="E215" t="s">
        <v>893</v>
      </c>
      <c r="F215">
        <v>1</v>
      </c>
      <c r="G215">
        <v>48164.9</v>
      </c>
      <c r="H215" t="s">
        <v>572</v>
      </c>
      <c r="I215">
        <v>2025</v>
      </c>
      <c r="J215" t="str">
        <f>_xlfn.XLOOKUP(sales[[#This Row],[Product_ID]],products[Product_ID],products[Product_Name])</f>
        <v>Headphones 1</v>
      </c>
      <c r="K215" t="str">
        <f>_xlfn.XLOOKUP(sales[[#This Row],[Store_ID]],stores[Store_ID],stores[Store_Name])</f>
        <v>Warangal Store</v>
      </c>
      <c r="L215" t="str">
        <f>_xlfn.XLOOKUP(sales[[#This Row],[Customer_ID]],customers[Customer_ID],customers[Customer_Name])</f>
        <v>Akhil_149</v>
      </c>
      <c r="M215" t="str">
        <f>IF(sales[[#This Row],[Total_Amount]]&gt;=50000,"High Sales","Low Sales")</f>
        <v>Low Sales</v>
      </c>
      <c r="N215">
        <f>sales[[#This Row],[Total_Amount]]/sales[[#This Row],[Quantity]]</f>
        <v>48164.9</v>
      </c>
    </row>
    <row r="216" spans="1:14" x14ac:dyDescent="0.3">
      <c r="A216" t="s">
        <v>894</v>
      </c>
      <c r="B216">
        <v>1171</v>
      </c>
      <c r="C216" t="s">
        <v>96</v>
      </c>
      <c r="D216" t="s">
        <v>46</v>
      </c>
      <c r="E216" t="s">
        <v>895</v>
      </c>
      <c r="F216">
        <v>3</v>
      </c>
      <c r="G216">
        <v>224958.84</v>
      </c>
      <c r="H216" t="s">
        <v>540</v>
      </c>
      <c r="I216">
        <v>2025</v>
      </c>
      <c r="J216" t="str">
        <f>_xlfn.XLOOKUP(sales[[#This Row],[Product_ID]],products[Product_ID],products[Product_Name])</f>
        <v>Printer 13</v>
      </c>
      <c r="K216" t="str">
        <f>_xlfn.XLOOKUP(sales[[#This Row],[Store_ID]],stores[Store_ID],stores[Store_Name])</f>
        <v>Vijayawada Store</v>
      </c>
      <c r="L216" t="str">
        <f>_xlfn.XLOOKUP(sales[[#This Row],[Customer_ID]],customers[Customer_ID],customers[Customer_Name])</f>
        <v>Priya_171</v>
      </c>
      <c r="M216" t="str">
        <f>IF(sales[[#This Row],[Total_Amount]]&gt;=50000,"High Sales","Low Sales")</f>
        <v>High Sales</v>
      </c>
      <c r="N216">
        <f>sales[[#This Row],[Total_Amount]]/sales[[#This Row],[Quantity]]</f>
        <v>74986.28</v>
      </c>
    </row>
    <row r="217" spans="1:14" x14ac:dyDescent="0.3">
      <c r="A217" t="s">
        <v>896</v>
      </c>
      <c r="B217">
        <v>1060</v>
      </c>
      <c r="C217" t="s">
        <v>81</v>
      </c>
      <c r="D217" t="s">
        <v>50</v>
      </c>
      <c r="E217" t="s">
        <v>555</v>
      </c>
      <c r="F217">
        <v>4</v>
      </c>
      <c r="G217">
        <v>278484.08</v>
      </c>
      <c r="H217" t="s">
        <v>531</v>
      </c>
      <c r="I217">
        <v>2026</v>
      </c>
      <c r="J217" t="str">
        <f>_xlfn.XLOOKUP(sales[[#This Row],[Product_ID]],products[Product_ID],products[Product_Name])</f>
        <v>Camera 6</v>
      </c>
      <c r="K217" t="str">
        <f>_xlfn.XLOOKUP(sales[[#This Row],[Store_ID]],stores[Store_ID],stores[Store_Name])</f>
        <v>Guntur Store</v>
      </c>
      <c r="L217" t="str">
        <f>_xlfn.XLOOKUP(sales[[#This Row],[Customer_ID]],customers[Customer_ID],customers[Customer_Name])</f>
        <v>Ravi_60</v>
      </c>
      <c r="M217" t="str">
        <f>IF(sales[[#This Row],[Total_Amount]]&gt;=50000,"High Sales","Low Sales")</f>
        <v>High Sales</v>
      </c>
      <c r="N217">
        <f>sales[[#This Row],[Total_Amount]]/sales[[#This Row],[Quantity]]</f>
        <v>69621.02</v>
      </c>
    </row>
    <row r="218" spans="1:14" x14ac:dyDescent="0.3">
      <c r="A218" t="s">
        <v>897</v>
      </c>
      <c r="B218">
        <v>1040</v>
      </c>
      <c r="C218" t="s">
        <v>114</v>
      </c>
      <c r="D218" t="s">
        <v>62</v>
      </c>
      <c r="E218" t="s">
        <v>303</v>
      </c>
      <c r="F218">
        <v>2</v>
      </c>
      <c r="G218">
        <v>111646.7</v>
      </c>
      <c r="H218" t="s">
        <v>534</v>
      </c>
      <c r="I218">
        <v>2025</v>
      </c>
      <c r="J218" t="str">
        <f>_xlfn.XLOOKUP(sales[[#This Row],[Product_ID]],products[Product_ID],products[Product_Name])</f>
        <v>Mixer 22</v>
      </c>
      <c r="K218" t="str">
        <f>_xlfn.XLOOKUP(sales[[#This Row],[Store_ID]],stores[Store_ID],stores[Store_Name])</f>
        <v>Pune Store</v>
      </c>
      <c r="L218" t="str">
        <f>_xlfn.XLOOKUP(sales[[#This Row],[Customer_ID]],customers[Customer_ID],customers[Customer_Name])</f>
        <v>Sneha_40</v>
      </c>
      <c r="M218" t="str">
        <f>IF(sales[[#This Row],[Total_Amount]]&gt;=50000,"High Sales","Low Sales")</f>
        <v>High Sales</v>
      </c>
      <c r="N218">
        <f>sales[[#This Row],[Total_Amount]]/sales[[#This Row],[Quantity]]</f>
        <v>55823.35</v>
      </c>
    </row>
    <row r="219" spans="1:14" x14ac:dyDescent="0.3">
      <c r="A219" t="s">
        <v>898</v>
      </c>
      <c r="B219">
        <v>1033</v>
      </c>
      <c r="C219" t="s">
        <v>116</v>
      </c>
      <c r="D219" t="s">
        <v>57</v>
      </c>
      <c r="E219" t="s">
        <v>899</v>
      </c>
      <c r="F219">
        <v>4</v>
      </c>
      <c r="G219">
        <v>436674.72</v>
      </c>
      <c r="H219" t="s">
        <v>575</v>
      </c>
      <c r="I219">
        <v>2026</v>
      </c>
      <c r="J219" t="str">
        <f>_xlfn.XLOOKUP(sales[[#This Row],[Product_ID]],products[Product_ID],products[Product_Name])</f>
        <v>Microwave 23</v>
      </c>
      <c r="K219" t="str">
        <f>_xlfn.XLOOKUP(sales[[#This Row],[Store_ID]],stores[Store_ID],stores[Store_Name])</f>
        <v>Bengaluru Store</v>
      </c>
      <c r="L219" t="str">
        <f>_xlfn.XLOOKUP(sales[[#This Row],[Customer_ID]],customers[Customer_ID],customers[Customer_Name])</f>
        <v>Kiran_33</v>
      </c>
      <c r="M219" t="str">
        <f>IF(sales[[#This Row],[Total_Amount]]&gt;=50000,"High Sales","Low Sales")</f>
        <v>High Sales</v>
      </c>
      <c r="N219">
        <f>sales[[#This Row],[Total_Amount]]/sales[[#This Row],[Quantity]]</f>
        <v>109168.68</v>
      </c>
    </row>
    <row r="220" spans="1:14" x14ac:dyDescent="0.3">
      <c r="A220" t="s">
        <v>900</v>
      </c>
      <c r="B220">
        <v>1100</v>
      </c>
      <c r="C220" t="s">
        <v>84</v>
      </c>
      <c r="D220" t="s">
        <v>62</v>
      </c>
      <c r="E220" t="s">
        <v>901</v>
      </c>
      <c r="F220">
        <v>5</v>
      </c>
      <c r="G220">
        <v>251591.55</v>
      </c>
      <c r="H220" t="s">
        <v>537</v>
      </c>
      <c r="I220">
        <v>2025</v>
      </c>
      <c r="J220" t="str">
        <f>_xlfn.XLOOKUP(sales[[#This Row],[Product_ID]],products[Product_ID],products[Product_Name])</f>
        <v>Headphones 7</v>
      </c>
      <c r="K220" t="str">
        <f>_xlfn.XLOOKUP(sales[[#This Row],[Store_ID]],stores[Store_ID],stores[Store_Name])</f>
        <v>Pune Store</v>
      </c>
      <c r="L220" t="str">
        <f>_xlfn.XLOOKUP(sales[[#This Row],[Customer_ID]],customers[Customer_ID],customers[Customer_Name])</f>
        <v>Vikram_100</v>
      </c>
      <c r="M220" t="str">
        <f>IF(sales[[#This Row],[Total_Amount]]&gt;=50000,"High Sales","Low Sales")</f>
        <v>High Sales</v>
      </c>
      <c r="N220">
        <f>sales[[#This Row],[Total_Amount]]/sales[[#This Row],[Quantity]]</f>
        <v>50318.31</v>
      </c>
    </row>
    <row r="221" spans="1:14" x14ac:dyDescent="0.3">
      <c r="A221" t="s">
        <v>902</v>
      </c>
      <c r="B221">
        <v>1112</v>
      </c>
      <c r="C221" t="s">
        <v>110</v>
      </c>
      <c r="D221" t="s">
        <v>46</v>
      </c>
      <c r="E221" t="s">
        <v>352</v>
      </c>
      <c r="F221">
        <v>5</v>
      </c>
      <c r="G221">
        <v>324809.3</v>
      </c>
      <c r="H221" t="s">
        <v>558</v>
      </c>
      <c r="I221">
        <v>2025</v>
      </c>
      <c r="J221" t="str">
        <f>_xlfn.XLOOKUP(sales[[#This Row],[Product_ID]],products[Product_ID],products[Product_Name])</f>
        <v>Keyboard 20</v>
      </c>
      <c r="K221" t="str">
        <f>_xlfn.XLOOKUP(sales[[#This Row],[Store_ID]],stores[Store_ID],stores[Store_Name])</f>
        <v>Vijayawada Store</v>
      </c>
      <c r="L221" t="str">
        <f>_xlfn.XLOOKUP(sales[[#This Row],[Customer_ID]],customers[Customer_ID],customers[Customer_Name])</f>
        <v>Sita_112</v>
      </c>
      <c r="M221" t="str">
        <f>IF(sales[[#This Row],[Total_Amount]]&gt;=50000,"High Sales","Low Sales")</f>
        <v>High Sales</v>
      </c>
      <c r="N221">
        <f>sales[[#This Row],[Total_Amount]]/sales[[#This Row],[Quantity]]</f>
        <v>64961.86</v>
      </c>
    </row>
    <row r="222" spans="1:14" x14ac:dyDescent="0.3">
      <c r="A222" t="s">
        <v>903</v>
      </c>
      <c r="B222">
        <v>1048</v>
      </c>
      <c r="C222" t="s">
        <v>102</v>
      </c>
      <c r="D222" t="s">
        <v>57</v>
      </c>
      <c r="E222" t="s">
        <v>668</v>
      </c>
      <c r="F222">
        <v>4</v>
      </c>
      <c r="G222">
        <v>372915.6</v>
      </c>
      <c r="H222" t="s">
        <v>537</v>
      </c>
      <c r="I222">
        <v>2025</v>
      </c>
      <c r="J222" t="str">
        <f>_xlfn.XLOOKUP(sales[[#This Row],[Product_ID]],products[Product_ID],products[Product_Name])</f>
        <v>Power Bank 16</v>
      </c>
      <c r="K222" t="str">
        <f>_xlfn.XLOOKUP(sales[[#This Row],[Store_ID]],stores[Store_ID],stores[Store_Name])</f>
        <v>Bengaluru Store</v>
      </c>
      <c r="L222" t="str">
        <f>_xlfn.XLOOKUP(sales[[#This Row],[Customer_ID]],customers[Customer_ID],customers[Customer_Name])</f>
        <v>Rahul_48</v>
      </c>
      <c r="M222" t="str">
        <f>IF(sales[[#This Row],[Total_Amount]]&gt;=50000,"High Sales","Low Sales")</f>
        <v>High Sales</v>
      </c>
      <c r="N222">
        <f>sales[[#This Row],[Total_Amount]]/sales[[#This Row],[Quantity]]</f>
        <v>93228.9</v>
      </c>
    </row>
    <row r="223" spans="1:14" x14ac:dyDescent="0.3">
      <c r="A223" t="s">
        <v>904</v>
      </c>
      <c r="B223">
        <v>1071</v>
      </c>
      <c r="C223" t="s">
        <v>112</v>
      </c>
      <c r="D223" t="s">
        <v>42</v>
      </c>
      <c r="E223" t="s">
        <v>905</v>
      </c>
      <c r="F223">
        <v>2</v>
      </c>
      <c r="G223">
        <v>181060.5</v>
      </c>
      <c r="H223" t="s">
        <v>540</v>
      </c>
      <c r="I223">
        <v>2025</v>
      </c>
      <c r="J223" t="str">
        <f>_xlfn.XLOOKUP(sales[[#This Row],[Product_ID]],products[Product_ID],products[Product_Name])</f>
        <v>Monitor 21</v>
      </c>
      <c r="K223" t="str">
        <f>_xlfn.XLOOKUP(sales[[#This Row],[Store_ID]],stores[Store_ID],stores[Store_Name])</f>
        <v>Hyderabad Store</v>
      </c>
      <c r="L223" t="str">
        <f>_xlfn.XLOOKUP(sales[[#This Row],[Customer_ID]],customers[Customer_ID],customers[Customer_Name])</f>
        <v>Rahul_71</v>
      </c>
      <c r="M223" t="str">
        <f>IF(sales[[#This Row],[Total_Amount]]&gt;=50000,"High Sales","Low Sales")</f>
        <v>High Sales</v>
      </c>
      <c r="N223">
        <f>sales[[#This Row],[Total_Amount]]/sales[[#This Row],[Quantity]]</f>
        <v>90530.25</v>
      </c>
    </row>
    <row r="224" spans="1:14" x14ac:dyDescent="0.3">
      <c r="A224" t="s">
        <v>906</v>
      </c>
      <c r="B224">
        <v>1064</v>
      </c>
      <c r="C224" t="s">
        <v>90</v>
      </c>
      <c r="D224" t="s">
        <v>48</v>
      </c>
      <c r="E224" t="s">
        <v>907</v>
      </c>
      <c r="F224">
        <v>1</v>
      </c>
      <c r="G224">
        <v>104733.6</v>
      </c>
      <c r="H224" t="s">
        <v>558</v>
      </c>
      <c r="I224">
        <v>2026</v>
      </c>
      <c r="J224" t="str">
        <f>_xlfn.XLOOKUP(sales[[#This Row],[Product_ID]],products[Product_ID],products[Product_Name])</f>
        <v>Camera 10</v>
      </c>
      <c r="K224" t="str">
        <f>_xlfn.XLOOKUP(sales[[#This Row],[Store_ID]],stores[Store_ID],stores[Store_Name])</f>
        <v>Visakhapatnam Store</v>
      </c>
      <c r="L224" t="str">
        <f>_xlfn.XLOOKUP(sales[[#This Row],[Customer_ID]],customers[Customer_ID],customers[Customer_Name])</f>
        <v>Anjali_64</v>
      </c>
      <c r="M224" t="str">
        <f>IF(sales[[#This Row],[Total_Amount]]&gt;=50000,"High Sales","Low Sales")</f>
        <v>High Sales</v>
      </c>
      <c r="N224">
        <f>sales[[#This Row],[Total_Amount]]/sales[[#This Row],[Quantity]]</f>
        <v>104733.6</v>
      </c>
    </row>
    <row r="225" spans="1:14" x14ac:dyDescent="0.3">
      <c r="A225" t="s">
        <v>908</v>
      </c>
      <c r="B225">
        <v>1110</v>
      </c>
      <c r="C225" t="s">
        <v>130</v>
      </c>
      <c r="D225" t="s">
        <v>57</v>
      </c>
      <c r="E225" t="s">
        <v>745</v>
      </c>
      <c r="F225">
        <v>3</v>
      </c>
      <c r="G225">
        <v>297416.96999999997</v>
      </c>
      <c r="H225" t="s">
        <v>558</v>
      </c>
      <c r="I225">
        <v>2025</v>
      </c>
      <c r="J225" t="str">
        <f>_xlfn.XLOOKUP(sales[[#This Row],[Product_ID]],products[Product_ID],products[Product_Name])</f>
        <v>Monitor 30</v>
      </c>
      <c r="K225" t="str">
        <f>_xlfn.XLOOKUP(sales[[#This Row],[Store_ID]],stores[Store_ID],stores[Store_Name])</f>
        <v>Bengaluru Store</v>
      </c>
      <c r="L225" t="str">
        <f>_xlfn.XLOOKUP(sales[[#This Row],[Customer_ID]],customers[Customer_ID],customers[Customer_Name])</f>
        <v>Sita_110</v>
      </c>
      <c r="M225" t="str">
        <f>IF(sales[[#This Row],[Total_Amount]]&gt;=50000,"High Sales","Low Sales")</f>
        <v>High Sales</v>
      </c>
      <c r="N225">
        <f>sales[[#This Row],[Total_Amount]]/sales[[#This Row],[Quantity]]</f>
        <v>99138.989999999991</v>
      </c>
    </row>
    <row r="226" spans="1:14" x14ac:dyDescent="0.3">
      <c r="A226" t="s">
        <v>909</v>
      </c>
      <c r="B226">
        <v>1177</v>
      </c>
      <c r="C226" t="s">
        <v>94</v>
      </c>
      <c r="D226" t="s">
        <v>59</v>
      </c>
      <c r="E226" t="s">
        <v>910</v>
      </c>
      <c r="F226">
        <v>5</v>
      </c>
      <c r="G226">
        <v>39396.65</v>
      </c>
      <c r="H226" t="s">
        <v>575</v>
      </c>
      <c r="I226">
        <v>2025</v>
      </c>
      <c r="J226" t="str">
        <f>_xlfn.XLOOKUP(sales[[#This Row],[Product_ID]],products[Product_ID],products[Product_Name])</f>
        <v>Mouse 12</v>
      </c>
      <c r="K226" t="str">
        <f>_xlfn.XLOOKUP(sales[[#This Row],[Store_ID]],stores[Store_ID],stores[Store_Name])</f>
        <v>Chennai Store</v>
      </c>
      <c r="L226" t="str">
        <f>_xlfn.XLOOKUP(sales[[#This Row],[Customer_ID]],customers[Customer_ID],customers[Customer_Name])</f>
        <v>Vikram_177</v>
      </c>
      <c r="M226" t="str">
        <f>IF(sales[[#This Row],[Total_Amount]]&gt;=50000,"High Sales","Low Sales")</f>
        <v>Low Sales</v>
      </c>
      <c r="N226">
        <f>sales[[#This Row],[Total_Amount]]/sales[[#This Row],[Quantity]]</f>
        <v>7879.33</v>
      </c>
    </row>
    <row r="227" spans="1:14" x14ac:dyDescent="0.3">
      <c r="A227" t="s">
        <v>911</v>
      </c>
      <c r="B227">
        <v>1133</v>
      </c>
      <c r="C227" t="s">
        <v>126</v>
      </c>
      <c r="D227" t="s">
        <v>42</v>
      </c>
      <c r="E227" t="s">
        <v>380</v>
      </c>
      <c r="F227">
        <v>2</v>
      </c>
      <c r="G227">
        <v>14826.76</v>
      </c>
      <c r="H227" t="s">
        <v>537</v>
      </c>
      <c r="I227">
        <v>2025</v>
      </c>
      <c r="J227" t="str">
        <f>_xlfn.XLOOKUP(sales[[#This Row],[Product_ID]],products[Product_ID],products[Product_Name])</f>
        <v>Router 28</v>
      </c>
      <c r="K227" t="str">
        <f>_xlfn.XLOOKUP(sales[[#This Row],[Store_ID]],stores[Store_ID],stores[Store_Name])</f>
        <v>Hyderabad Store</v>
      </c>
      <c r="L227" t="str">
        <f>_xlfn.XLOOKUP(sales[[#This Row],[Customer_ID]],customers[Customer_ID],customers[Customer_Name])</f>
        <v>Akhil_133</v>
      </c>
      <c r="M227" t="str">
        <f>IF(sales[[#This Row],[Total_Amount]]&gt;=50000,"High Sales","Low Sales")</f>
        <v>Low Sales</v>
      </c>
      <c r="N227">
        <f>sales[[#This Row],[Total_Amount]]/sales[[#This Row],[Quantity]]</f>
        <v>7413.38</v>
      </c>
    </row>
    <row r="228" spans="1:14" x14ac:dyDescent="0.3">
      <c r="A228" t="s">
        <v>912</v>
      </c>
      <c r="B228">
        <v>1145</v>
      </c>
      <c r="C228" t="s">
        <v>92</v>
      </c>
      <c r="D228" t="s">
        <v>42</v>
      </c>
      <c r="E228" t="s">
        <v>913</v>
      </c>
      <c r="F228">
        <v>2</v>
      </c>
      <c r="G228">
        <v>106015.46</v>
      </c>
      <c r="H228" t="s">
        <v>522</v>
      </c>
      <c r="I228">
        <v>2025</v>
      </c>
      <c r="J228" t="str">
        <f>_xlfn.XLOOKUP(sales[[#This Row],[Product_ID]],products[Product_ID],products[Product_Name])</f>
        <v>Smartphone 11</v>
      </c>
      <c r="K228" t="str">
        <f>_xlfn.XLOOKUP(sales[[#This Row],[Store_ID]],stores[Store_ID],stores[Store_Name])</f>
        <v>Hyderabad Store</v>
      </c>
      <c r="L228" t="str">
        <f>_xlfn.XLOOKUP(sales[[#This Row],[Customer_ID]],customers[Customer_ID],customers[Customer_Name])</f>
        <v>Kiran_145</v>
      </c>
      <c r="M228" t="str">
        <f>IF(sales[[#This Row],[Total_Amount]]&gt;=50000,"High Sales","Low Sales")</f>
        <v>High Sales</v>
      </c>
      <c r="N228">
        <f>sales[[#This Row],[Total_Amount]]/sales[[#This Row],[Quantity]]</f>
        <v>53007.73</v>
      </c>
    </row>
    <row r="229" spans="1:14" x14ac:dyDescent="0.3">
      <c r="A229" t="s">
        <v>914</v>
      </c>
      <c r="B229">
        <v>1120</v>
      </c>
      <c r="C229" t="s">
        <v>120</v>
      </c>
      <c r="D229" t="s">
        <v>59</v>
      </c>
      <c r="E229" t="s">
        <v>915</v>
      </c>
      <c r="F229">
        <v>4</v>
      </c>
      <c r="G229">
        <v>47769.2</v>
      </c>
      <c r="H229" t="s">
        <v>558</v>
      </c>
      <c r="I229">
        <v>2026</v>
      </c>
      <c r="J229" t="str">
        <f>_xlfn.XLOOKUP(sales[[#This Row],[Product_ID]],products[Product_ID],products[Product_Name])</f>
        <v>Printer 25</v>
      </c>
      <c r="K229" t="str">
        <f>_xlfn.XLOOKUP(sales[[#This Row],[Store_ID]],stores[Store_ID],stores[Store_Name])</f>
        <v>Chennai Store</v>
      </c>
      <c r="L229" t="str">
        <f>_xlfn.XLOOKUP(sales[[#This Row],[Customer_ID]],customers[Customer_ID],customers[Customer_Name])</f>
        <v>Pooja_120</v>
      </c>
      <c r="M229" t="str">
        <f>IF(sales[[#This Row],[Total_Amount]]&gt;=50000,"High Sales","Low Sales")</f>
        <v>Low Sales</v>
      </c>
      <c r="N229">
        <f>sales[[#This Row],[Total_Amount]]/sales[[#This Row],[Quantity]]</f>
        <v>11942.3</v>
      </c>
    </row>
    <row r="230" spans="1:14" x14ac:dyDescent="0.3">
      <c r="A230" t="s">
        <v>916</v>
      </c>
      <c r="B230">
        <v>1014</v>
      </c>
      <c r="C230" t="s">
        <v>86</v>
      </c>
      <c r="D230" t="s">
        <v>46</v>
      </c>
      <c r="E230" t="s">
        <v>565</v>
      </c>
      <c r="F230">
        <v>5</v>
      </c>
      <c r="G230">
        <v>411721.35</v>
      </c>
      <c r="H230" t="s">
        <v>558</v>
      </c>
      <c r="I230">
        <v>2026</v>
      </c>
      <c r="J230" t="str">
        <f>_xlfn.XLOOKUP(sales[[#This Row],[Product_ID]],products[Product_ID],products[Product_Name])</f>
        <v>Laptop 8</v>
      </c>
      <c r="K230" t="str">
        <f>_xlfn.XLOOKUP(sales[[#This Row],[Store_ID]],stores[Store_ID],stores[Store_Name])</f>
        <v>Vijayawada Store</v>
      </c>
      <c r="L230" t="str">
        <f>_xlfn.XLOOKUP(sales[[#This Row],[Customer_ID]],customers[Customer_ID],customers[Customer_Name])</f>
        <v>Arjun_14</v>
      </c>
      <c r="M230" t="str">
        <f>IF(sales[[#This Row],[Total_Amount]]&gt;=50000,"High Sales","Low Sales")</f>
        <v>High Sales</v>
      </c>
      <c r="N230">
        <f>sales[[#This Row],[Total_Amount]]/sales[[#This Row],[Quantity]]</f>
        <v>82344.26999999999</v>
      </c>
    </row>
    <row r="231" spans="1:14" x14ac:dyDescent="0.3">
      <c r="A231" t="s">
        <v>917</v>
      </c>
      <c r="B231">
        <v>1198</v>
      </c>
      <c r="C231" t="s">
        <v>72</v>
      </c>
      <c r="D231" t="s">
        <v>46</v>
      </c>
      <c r="E231" t="s">
        <v>918</v>
      </c>
      <c r="F231">
        <v>5</v>
      </c>
      <c r="G231">
        <v>306436.7</v>
      </c>
      <c r="H231" t="s">
        <v>572</v>
      </c>
      <c r="I231">
        <v>2025</v>
      </c>
      <c r="J231" t="str">
        <f>_xlfn.XLOOKUP(sales[[#This Row],[Product_ID]],products[Product_ID],products[Product_Name])</f>
        <v>Headphones 2</v>
      </c>
      <c r="K231" t="str">
        <f>_xlfn.XLOOKUP(sales[[#This Row],[Store_ID]],stores[Store_ID],stores[Store_Name])</f>
        <v>Vijayawada Store</v>
      </c>
      <c r="L231" t="str">
        <f>_xlfn.XLOOKUP(sales[[#This Row],[Customer_ID]],customers[Customer_ID],customers[Customer_Name])</f>
        <v>Anjali_198</v>
      </c>
      <c r="M231" t="str">
        <f>IF(sales[[#This Row],[Total_Amount]]&gt;=50000,"High Sales","Low Sales")</f>
        <v>High Sales</v>
      </c>
      <c r="N231">
        <f>sales[[#This Row],[Total_Amount]]/sales[[#This Row],[Quantity]]</f>
        <v>61287.340000000004</v>
      </c>
    </row>
    <row r="232" spans="1:14" x14ac:dyDescent="0.3">
      <c r="A232" t="s">
        <v>919</v>
      </c>
      <c r="B232">
        <v>1110</v>
      </c>
      <c r="C232" t="s">
        <v>72</v>
      </c>
      <c r="D232" t="s">
        <v>50</v>
      </c>
      <c r="E232" t="s">
        <v>920</v>
      </c>
      <c r="F232">
        <v>1</v>
      </c>
      <c r="G232">
        <v>3614.77</v>
      </c>
      <c r="H232" t="s">
        <v>537</v>
      </c>
      <c r="I232">
        <v>2026</v>
      </c>
      <c r="J232" t="str">
        <f>_xlfn.XLOOKUP(sales[[#This Row],[Product_ID]],products[Product_ID],products[Product_Name])</f>
        <v>Headphones 2</v>
      </c>
      <c r="K232" t="str">
        <f>_xlfn.XLOOKUP(sales[[#This Row],[Store_ID]],stores[Store_ID],stores[Store_Name])</f>
        <v>Guntur Store</v>
      </c>
      <c r="L232" t="str">
        <f>_xlfn.XLOOKUP(sales[[#This Row],[Customer_ID]],customers[Customer_ID],customers[Customer_Name])</f>
        <v>Sita_110</v>
      </c>
      <c r="M232" t="str">
        <f>IF(sales[[#This Row],[Total_Amount]]&gt;=50000,"High Sales","Low Sales")</f>
        <v>Low Sales</v>
      </c>
      <c r="N232">
        <f>sales[[#This Row],[Total_Amount]]/sales[[#This Row],[Quantity]]</f>
        <v>3614.77</v>
      </c>
    </row>
    <row r="233" spans="1:14" x14ac:dyDescent="0.3">
      <c r="A233" t="s">
        <v>921</v>
      </c>
      <c r="B233">
        <v>1063</v>
      </c>
      <c r="C233" t="s">
        <v>128</v>
      </c>
      <c r="D233" t="s">
        <v>59</v>
      </c>
      <c r="E233" t="s">
        <v>922</v>
      </c>
      <c r="F233">
        <v>4</v>
      </c>
      <c r="G233">
        <v>128402.92</v>
      </c>
      <c r="H233" t="s">
        <v>558</v>
      </c>
      <c r="I233">
        <v>2026</v>
      </c>
      <c r="J233" t="str">
        <f>_xlfn.XLOOKUP(sales[[#This Row],[Product_ID]],products[Product_ID],products[Product_Name])</f>
        <v>Printer 29</v>
      </c>
      <c r="K233" t="str">
        <f>_xlfn.XLOOKUP(sales[[#This Row],[Store_ID]],stores[Store_ID],stores[Store_Name])</f>
        <v>Chennai Store</v>
      </c>
      <c r="L233" t="str">
        <f>_xlfn.XLOOKUP(sales[[#This Row],[Customer_ID]],customers[Customer_ID],customers[Customer_Name])</f>
        <v>Nikhil_63</v>
      </c>
      <c r="M233" t="str">
        <f>IF(sales[[#This Row],[Total_Amount]]&gt;=50000,"High Sales","Low Sales")</f>
        <v>High Sales</v>
      </c>
      <c r="N233">
        <f>sales[[#This Row],[Total_Amount]]/sales[[#This Row],[Quantity]]</f>
        <v>32100.73</v>
      </c>
    </row>
    <row r="234" spans="1:14" x14ac:dyDescent="0.3">
      <c r="A234" t="s">
        <v>923</v>
      </c>
      <c r="B234">
        <v>1003</v>
      </c>
      <c r="C234" t="s">
        <v>79</v>
      </c>
      <c r="D234" t="s">
        <v>46</v>
      </c>
      <c r="E234" t="s">
        <v>842</v>
      </c>
      <c r="F234">
        <v>1</v>
      </c>
      <c r="G234">
        <v>51607.45</v>
      </c>
      <c r="H234" t="s">
        <v>525</v>
      </c>
      <c r="I234">
        <v>2026</v>
      </c>
      <c r="J234" t="str">
        <f>_xlfn.XLOOKUP(sales[[#This Row],[Product_ID]],products[Product_ID],products[Product_Name])</f>
        <v>Smartphone 5</v>
      </c>
      <c r="K234" t="str">
        <f>_xlfn.XLOOKUP(sales[[#This Row],[Store_ID]],stores[Store_ID],stores[Store_Name])</f>
        <v>Vijayawada Store</v>
      </c>
      <c r="L234" t="str">
        <f>_xlfn.XLOOKUP(sales[[#This Row],[Customer_ID]],customers[Customer_ID],customers[Customer_Name])</f>
        <v>Priya_3</v>
      </c>
      <c r="M234" t="str">
        <f>IF(sales[[#This Row],[Total_Amount]]&gt;=50000,"High Sales","Low Sales")</f>
        <v>High Sales</v>
      </c>
      <c r="N234">
        <f>sales[[#This Row],[Total_Amount]]/sales[[#This Row],[Quantity]]</f>
        <v>51607.45</v>
      </c>
    </row>
    <row r="235" spans="1:14" x14ac:dyDescent="0.3">
      <c r="A235" t="s">
        <v>924</v>
      </c>
      <c r="B235">
        <v>1109</v>
      </c>
      <c r="C235" t="s">
        <v>118</v>
      </c>
      <c r="D235" t="s">
        <v>42</v>
      </c>
      <c r="E235" t="s">
        <v>925</v>
      </c>
      <c r="F235">
        <v>4</v>
      </c>
      <c r="G235">
        <v>301408.92</v>
      </c>
      <c r="H235" t="s">
        <v>561</v>
      </c>
      <c r="I235">
        <v>2025</v>
      </c>
      <c r="J235" t="str">
        <f>_xlfn.XLOOKUP(sales[[#This Row],[Product_ID]],products[Product_ID],products[Product_Name])</f>
        <v>Tablet 24</v>
      </c>
      <c r="K235" t="str">
        <f>_xlfn.XLOOKUP(sales[[#This Row],[Store_ID]],stores[Store_ID],stores[Store_Name])</f>
        <v>Hyderabad Store</v>
      </c>
      <c r="L235" t="str">
        <f>_xlfn.XLOOKUP(sales[[#This Row],[Customer_ID]],customers[Customer_ID],customers[Customer_Name])</f>
        <v>Sita_109</v>
      </c>
      <c r="M235" t="str">
        <f>IF(sales[[#This Row],[Total_Amount]]&gt;=50000,"High Sales","Low Sales")</f>
        <v>High Sales</v>
      </c>
      <c r="N235">
        <f>sales[[#This Row],[Total_Amount]]/sales[[#This Row],[Quantity]]</f>
        <v>75352.23</v>
      </c>
    </row>
    <row r="236" spans="1:14" x14ac:dyDescent="0.3">
      <c r="A236" t="s">
        <v>926</v>
      </c>
      <c r="B236">
        <v>1131</v>
      </c>
      <c r="C236" t="s">
        <v>122</v>
      </c>
      <c r="D236" t="s">
        <v>46</v>
      </c>
      <c r="E236" t="s">
        <v>927</v>
      </c>
      <c r="F236">
        <v>3</v>
      </c>
      <c r="G236">
        <v>349168.92</v>
      </c>
      <c r="H236" t="s">
        <v>522</v>
      </c>
      <c r="I236">
        <v>2025</v>
      </c>
      <c r="J236" t="str">
        <f>_xlfn.XLOOKUP(sales[[#This Row],[Product_ID]],products[Product_ID],products[Product_Name])</f>
        <v>Router 26</v>
      </c>
      <c r="K236" t="str">
        <f>_xlfn.XLOOKUP(sales[[#This Row],[Store_ID]],stores[Store_ID],stores[Store_Name])</f>
        <v>Vijayawada Store</v>
      </c>
      <c r="L236" t="str">
        <f>_xlfn.XLOOKUP(sales[[#This Row],[Customer_ID]],customers[Customer_ID],customers[Customer_Name])</f>
        <v>Vikram_131</v>
      </c>
      <c r="M236" t="str">
        <f>IF(sales[[#This Row],[Total_Amount]]&gt;=50000,"High Sales","Low Sales")</f>
        <v>High Sales</v>
      </c>
      <c r="N236">
        <f>sales[[#This Row],[Total_Amount]]/sales[[#This Row],[Quantity]]</f>
        <v>116389.64</v>
      </c>
    </row>
    <row r="237" spans="1:14" x14ac:dyDescent="0.3">
      <c r="A237" t="s">
        <v>928</v>
      </c>
      <c r="B237">
        <v>1101</v>
      </c>
      <c r="C237" t="s">
        <v>90</v>
      </c>
      <c r="D237" t="s">
        <v>57</v>
      </c>
      <c r="E237" t="s">
        <v>293</v>
      </c>
      <c r="F237">
        <v>3</v>
      </c>
      <c r="G237">
        <v>19758.66</v>
      </c>
      <c r="H237" t="s">
        <v>558</v>
      </c>
      <c r="I237">
        <v>2025</v>
      </c>
      <c r="J237" t="str">
        <f>_xlfn.XLOOKUP(sales[[#This Row],[Product_ID]],products[Product_ID],products[Product_Name])</f>
        <v>Camera 10</v>
      </c>
      <c r="K237" t="str">
        <f>_xlfn.XLOOKUP(sales[[#This Row],[Store_ID]],stores[Store_ID],stores[Store_Name])</f>
        <v>Bengaluru Store</v>
      </c>
      <c r="L237" t="str">
        <f>_xlfn.XLOOKUP(sales[[#This Row],[Customer_ID]],customers[Customer_ID],customers[Customer_Name])</f>
        <v>Anjali_101</v>
      </c>
      <c r="M237" t="str">
        <f>IF(sales[[#This Row],[Total_Amount]]&gt;=50000,"High Sales","Low Sales")</f>
        <v>Low Sales</v>
      </c>
      <c r="N237">
        <f>sales[[#This Row],[Total_Amount]]/sales[[#This Row],[Quantity]]</f>
        <v>6586.22</v>
      </c>
    </row>
    <row r="238" spans="1:14" x14ac:dyDescent="0.3">
      <c r="A238" t="s">
        <v>929</v>
      </c>
      <c r="B238">
        <v>1061</v>
      </c>
      <c r="C238" t="s">
        <v>104</v>
      </c>
      <c r="D238" t="s">
        <v>46</v>
      </c>
      <c r="E238" t="s">
        <v>284</v>
      </c>
      <c r="F238">
        <v>1</v>
      </c>
      <c r="G238">
        <v>30078.69</v>
      </c>
      <c r="H238" t="s">
        <v>540</v>
      </c>
      <c r="I238">
        <v>2025</v>
      </c>
      <c r="J238" t="str">
        <f>_xlfn.XLOOKUP(sales[[#This Row],[Product_ID]],products[Product_ID],products[Product_Name])</f>
        <v>Mixer 17</v>
      </c>
      <c r="K238" t="str">
        <f>_xlfn.XLOOKUP(sales[[#This Row],[Store_ID]],stores[Store_ID],stores[Store_Name])</f>
        <v>Vijayawada Store</v>
      </c>
      <c r="L238" t="str">
        <f>_xlfn.XLOOKUP(sales[[#This Row],[Customer_ID]],customers[Customer_ID],customers[Customer_Name])</f>
        <v>Vikram_61</v>
      </c>
      <c r="M238" t="str">
        <f>IF(sales[[#This Row],[Total_Amount]]&gt;=50000,"High Sales","Low Sales")</f>
        <v>Low Sales</v>
      </c>
      <c r="N238">
        <f>sales[[#This Row],[Total_Amount]]/sales[[#This Row],[Quantity]]</f>
        <v>30078.69</v>
      </c>
    </row>
    <row r="239" spans="1:14" x14ac:dyDescent="0.3">
      <c r="A239" t="s">
        <v>930</v>
      </c>
      <c r="B239">
        <v>1151</v>
      </c>
      <c r="C239" t="s">
        <v>110</v>
      </c>
      <c r="D239" t="s">
        <v>59</v>
      </c>
      <c r="E239" t="s">
        <v>553</v>
      </c>
      <c r="F239">
        <v>3</v>
      </c>
      <c r="G239">
        <v>239590.65</v>
      </c>
      <c r="H239" t="s">
        <v>537</v>
      </c>
      <c r="I239">
        <v>2025</v>
      </c>
      <c r="J239" t="str">
        <f>_xlfn.XLOOKUP(sales[[#This Row],[Product_ID]],products[Product_ID],products[Product_Name])</f>
        <v>Keyboard 20</v>
      </c>
      <c r="K239" t="str">
        <f>_xlfn.XLOOKUP(sales[[#This Row],[Store_ID]],stores[Store_ID],stores[Store_Name])</f>
        <v>Chennai Store</v>
      </c>
      <c r="L239" t="str">
        <f>_xlfn.XLOOKUP(sales[[#This Row],[Customer_ID]],customers[Customer_ID],customers[Customer_Name])</f>
        <v>Priya_151</v>
      </c>
      <c r="M239" t="str">
        <f>IF(sales[[#This Row],[Total_Amount]]&gt;=50000,"High Sales","Low Sales")</f>
        <v>High Sales</v>
      </c>
      <c r="N239">
        <f>sales[[#This Row],[Total_Amount]]/sales[[#This Row],[Quantity]]</f>
        <v>79863.55</v>
      </c>
    </row>
    <row r="240" spans="1:14" x14ac:dyDescent="0.3">
      <c r="A240" t="s">
        <v>931</v>
      </c>
      <c r="B240">
        <v>1075</v>
      </c>
      <c r="C240" t="s">
        <v>114</v>
      </c>
      <c r="D240" t="s">
        <v>46</v>
      </c>
      <c r="E240" t="s">
        <v>932</v>
      </c>
      <c r="F240">
        <v>2</v>
      </c>
      <c r="G240">
        <v>51954.16</v>
      </c>
      <c r="H240" t="s">
        <v>558</v>
      </c>
      <c r="I240">
        <v>2026</v>
      </c>
      <c r="J240" t="str">
        <f>_xlfn.XLOOKUP(sales[[#This Row],[Product_ID]],products[Product_ID],products[Product_Name])</f>
        <v>Mixer 22</v>
      </c>
      <c r="K240" t="str">
        <f>_xlfn.XLOOKUP(sales[[#This Row],[Store_ID]],stores[Store_ID],stores[Store_Name])</f>
        <v>Vijayawada Store</v>
      </c>
      <c r="L240" t="str">
        <f>_xlfn.XLOOKUP(sales[[#This Row],[Customer_ID]],customers[Customer_ID],customers[Customer_Name])</f>
        <v>Nikhil_75</v>
      </c>
      <c r="M240" t="str">
        <f>IF(sales[[#This Row],[Total_Amount]]&gt;=50000,"High Sales","Low Sales")</f>
        <v>High Sales</v>
      </c>
      <c r="N240">
        <f>sales[[#This Row],[Total_Amount]]/sales[[#This Row],[Quantity]]</f>
        <v>25977.08</v>
      </c>
    </row>
    <row r="241" spans="1:14" x14ac:dyDescent="0.3">
      <c r="A241" t="s">
        <v>933</v>
      </c>
      <c r="B241">
        <v>1086</v>
      </c>
      <c r="C241" t="s">
        <v>130</v>
      </c>
      <c r="D241" t="s">
        <v>62</v>
      </c>
      <c r="E241" t="s">
        <v>915</v>
      </c>
      <c r="F241">
        <v>2</v>
      </c>
      <c r="G241">
        <v>78598.899999999994</v>
      </c>
      <c r="H241" t="s">
        <v>558</v>
      </c>
      <c r="I241">
        <v>2026</v>
      </c>
      <c r="J241" t="str">
        <f>_xlfn.XLOOKUP(sales[[#This Row],[Product_ID]],products[Product_ID],products[Product_Name])</f>
        <v>Monitor 30</v>
      </c>
      <c r="K241" t="str">
        <f>_xlfn.XLOOKUP(sales[[#This Row],[Store_ID]],stores[Store_ID],stores[Store_Name])</f>
        <v>Pune Store</v>
      </c>
      <c r="L241" t="str">
        <f>_xlfn.XLOOKUP(sales[[#This Row],[Customer_ID]],customers[Customer_ID],customers[Customer_Name])</f>
        <v>Priya_86</v>
      </c>
      <c r="M241" t="str">
        <f>IF(sales[[#This Row],[Total_Amount]]&gt;=50000,"High Sales","Low Sales")</f>
        <v>High Sales</v>
      </c>
      <c r="N241">
        <f>sales[[#This Row],[Total_Amount]]/sales[[#This Row],[Quantity]]</f>
        <v>39299.449999999997</v>
      </c>
    </row>
    <row r="242" spans="1:14" x14ac:dyDescent="0.3">
      <c r="A242" t="s">
        <v>934</v>
      </c>
      <c r="B242">
        <v>1043</v>
      </c>
      <c r="C242" t="s">
        <v>130</v>
      </c>
      <c r="D242" t="s">
        <v>46</v>
      </c>
      <c r="E242" t="s">
        <v>935</v>
      </c>
      <c r="F242">
        <v>3</v>
      </c>
      <c r="G242">
        <v>155584.98000000001</v>
      </c>
      <c r="H242" t="s">
        <v>522</v>
      </c>
      <c r="I242">
        <v>2025</v>
      </c>
      <c r="J242" t="str">
        <f>_xlfn.XLOOKUP(sales[[#This Row],[Product_ID]],products[Product_ID],products[Product_Name])</f>
        <v>Monitor 30</v>
      </c>
      <c r="K242" t="str">
        <f>_xlfn.XLOOKUP(sales[[#This Row],[Store_ID]],stores[Store_ID],stores[Store_Name])</f>
        <v>Vijayawada Store</v>
      </c>
      <c r="L242" t="str">
        <f>_xlfn.XLOOKUP(sales[[#This Row],[Customer_ID]],customers[Customer_ID],customers[Customer_Name])</f>
        <v>Pooja_43</v>
      </c>
      <c r="M242" t="str">
        <f>IF(sales[[#This Row],[Total_Amount]]&gt;=50000,"High Sales","Low Sales")</f>
        <v>High Sales</v>
      </c>
      <c r="N242">
        <f>sales[[#This Row],[Total_Amount]]/sales[[#This Row],[Quantity]]</f>
        <v>51861.66</v>
      </c>
    </row>
    <row r="243" spans="1:14" x14ac:dyDescent="0.3">
      <c r="A243" t="s">
        <v>936</v>
      </c>
      <c r="B243">
        <v>1163</v>
      </c>
      <c r="C243" t="s">
        <v>106</v>
      </c>
      <c r="D243" t="s">
        <v>50</v>
      </c>
      <c r="E243" t="s">
        <v>670</v>
      </c>
      <c r="F243">
        <v>5</v>
      </c>
      <c r="G243">
        <v>388142.3</v>
      </c>
      <c r="H243" t="s">
        <v>540</v>
      </c>
      <c r="I243">
        <v>2025</v>
      </c>
      <c r="J243" t="str">
        <f>_xlfn.XLOOKUP(sales[[#This Row],[Product_ID]],products[Product_ID],products[Product_Name])</f>
        <v>Microwave 18</v>
      </c>
      <c r="K243" t="str">
        <f>_xlfn.XLOOKUP(sales[[#This Row],[Store_ID]],stores[Store_ID],stores[Store_Name])</f>
        <v>Guntur Store</v>
      </c>
      <c r="L243" t="str">
        <f>_xlfn.XLOOKUP(sales[[#This Row],[Customer_ID]],customers[Customer_ID],customers[Customer_Name])</f>
        <v>Pooja_163</v>
      </c>
      <c r="M243" t="str">
        <f>IF(sales[[#This Row],[Total_Amount]]&gt;=50000,"High Sales","Low Sales")</f>
        <v>High Sales</v>
      </c>
      <c r="N243">
        <f>sales[[#This Row],[Total_Amount]]/sales[[#This Row],[Quantity]]</f>
        <v>77628.459999999992</v>
      </c>
    </row>
    <row r="244" spans="1:14" x14ac:dyDescent="0.3">
      <c r="A244" t="s">
        <v>937</v>
      </c>
      <c r="B244">
        <v>1007</v>
      </c>
      <c r="C244" t="s">
        <v>81</v>
      </c>
      <c r="D244" t="s">
        <v>62</v>
      </c>
      <c r="E244" t="s">
        <v>938</v>
      </c>
      <c r="F244">
        <v>1</v>
      </c>
      <c r="G244">
        <v>82865.67</v>
      </c>
      <c r="H244" t="s">
        <v>545</v>
      </c>
      <c r="I244">
        <v>2026</v>
      </c>
      <c r="J244" t="str">
        <f>_xlfn.XLOOKUP(sales[[#This Row],[Product_ID]],products[Product_ID],products[Product_Name])</f>
        <v>Camera 6</v>
      </c>
      <c r="K244" t="str">
        <f>_xlfn.XLOOKUP(sales[[#This Row],[Store_ID]],stores[Store_ID],stores[Store_Name])</f>
        <v>Pune Store</v>
      </c>
      <c r="L244" t="str">
        <f>_xlfn.XLOOKUP(sales[[#This Row],[Customer_ID]],customers[Customer_ID],customers[Customer_Name])</f>
        <v>Rahul_7</v>
      </c>
      <c r="M244" t="str">
        <f>IF(sales[[#This Row],[Total_Amount]]&gt;=50000,"High Sales","Low Sales")</f>
        <v>High Sales</v>
      </c>
      <c r="N244">
        <f>sales[[#This Row],[Total_Amount]]/sales[[#This Row],[Quantity]]</f>
        <v>82865.67</v>
      </c>
    </row>
    <row r="245" spans="1:14" x14ac:dyDescent="0.3">
      <c r="A245" t="s">
        <v>939</v>
      </c>
      <c r="B245">
        <v>1081</v>
      </c>
      <c r="C245" t="s">
        <v>94</v>
      </c>
      <c r="D245" t="s">
        <v>50</v>
      </c>
      <c r="E245" t="s">
        <v>940</v>
      </c>
      <c r="F245">
        <v>1</v>
      </c>
      <c r="G245">
        <v>2304.81</v>
      </c>
      <c r="H245" t="s">
        <v>545</v>
      </c>
      <c r="I245">
        <v>2026</v>
      </c>
      <c r="J245" t="str">
        <f>_xlfn.XLOOKUP(sales[[#This Row],[Product_ID]],products[Product_ID],products[Product_Name])</f>
        <v>Mouse 12</v>
      </c>
      <c r="K245" t="str">
        <f>_xlfn.XLOOKUP(sales[[#This Row],[Store_ID]],stores[Store_ID],stores[Store_Name])</f>
        <v>Guntur Store</v>
      </c>
      <c r="L245" t="str">
        <f>_xlfn.XLOOKUP(sales[[#This Row],[Customer_ID]],customers[Customer_ID],customers[Customer_Name])</f>
        <v>Anjali_81</v>
      </c>
      <c r="M245" t="str">
        <f>IF(sales[[#This Row],[Total_Amount]]&gt;=50000,"High Sales","Low Sales")</f>
        <v>Low Sales</v>
      </c>
      <c r="N245">
        <f>sales[[#This Row],[Total_Amount]]/sales[[#This Row],[Quantity]]</f>
        <v>2304.81</v>
      </c>
    </row>
    <row r="246" spans="1:14" x14ac:dyDescent="0.3">
      <c r="A246" t="s">
        <v>941</v>
      </c>
      <c r="B246">
        <v>1030</v>
      </c>
      <c r="C246" t="s">
        <v>100</v>
      </c>
      <c r="D246" t="s">
        <v>57</v>
      </c>
      <c r="E246" t="s">
        <v>262</v>
      </c>
      <c r="F246">
        <v>4</v>
      </c>
      <c r="G246">
        <v>283746.56</v>
      </c>
      <c r="H246" t="s">
        <v>572</v>
      </c>
      <c r="I246">
        <v>2025</v>
      </c>
      <c r="J246" t="str">
        <f>_xlfn.XLOOKUP(sales[[#This Row],[Product_ID]],products[Product_ID],products[Product_Name])</f>
        <v>Tablet 15</v>
      </c>
      <c r="K246" t="str">
        <f>_xlfn.XLOOKUP(sales[[#This Row],[Store_ID]],stores[Store_ID],stores[Store_Name])</f>
        <v>Bengaluru Store</v>
      </c>
      <c r="L246" t="str">
        <f>_xlfn.XLOOKUP(sales[[#This Row],[Customer_ID]],customers[Customer_ID],customers[Customer_Name])</f>
        <v>Ramesh_30</v>
      </c>
      <c r="M246" t="str">
        <f>IF(sales[[#This Row],[Total_Amount]]&gt;=50000,"High Sales","Low Sales")</f>
        <v>High Sales</v>
      </c>
      <c r="N246">
        <f>sales[[#This Row],[Total_Amount]]/sales[[#This Row],[Quantity]]</f>
        <v>70936.639999999999</v>
      </c>
    </row>
    <row r="247" spans="1:14" x14ac:dyDescent="0.3">
      <c r="A247" t="s">
        <v>942</v>
      </c>
      <c r="B247">
        <v>1138</v>
      </c>
      <c r="C247" t="s">
        <v>96</v>
      </c>
      <c r="D247" t="s">
        <v>46</v>
      </c>
      <c r="E247" t="s">
        <v>943</v>
      </c>
      <c r="F247">
        <v>3</v>
      </c>
      <c r="G247">
        <v>63817.95</v>
      </c>
      <c r="H247" t="s">
        <v>545</v>
      </c>
      <c r="I247">
        <v>2026</v>
      </c>
      <c r="J247" t="str">
        <f>_xlfn.XLOOKUP(sales[[#This Row],[Product_ID]],products[Product_ID],products[Product_Name])</f>
        <v>Printer 13</v>
      </c>
      <c r="K247" t="str">
        <f>_xlfn.XLOOKUP(sales[[#This Row],[Store_ID]],stores[Store_ID],stores[Store_Name])</f>
        <v>Vijayawada Store</v>
      </c>
      <c r="L247" t="str">
        <f>_xlfn.XLOOKUP(sales[[#This Row],[Customer_ID]],customers[Customer_ID],customers[Customer_Name])</f>
        <v>Rahul_138</v>
      </c>
      <c r="M247" t="str">
        <f>IF(sales[[#This Row],[Total_Amount]]&gt;=50000,"High Sales","Low Sales")</f>
        <v>High Sales</v>
      </c>
      <c r="N247">
        <f>sales[[#This Row],[Total_Amount]]/sales[[#This Row],[Quantity]]</f>
        <v>21272.649999999998</v>
      </c>
    </row>
    <row r="248" spans="1:14" x14ac:dyDescent="0.3">
      <c r="A248" t="s">
        <v>944</v>
      </c>
      <c r="B248">
        <v>1125</v>
      </c>
      <c r="C248" t="s">
        <v>90</v>
      </c>
      <c r="D248" t="s">
        <v>59</v>
      </c>
      <c r="E248" t="s">
        <v>442</v>
      </c>
      <c r="F248">
        <v>5</v>
      </c>
      <c r="G248">
        <v>16226.35</v>
      </c>
      <c r="H248" t="s">
        <v>537</v>
      </c>
      <c r="I248">
        <v>2025</v>
      </c>
      <c r="J248" t="str">
        <f>_xlfn.XLOOKUP(sales[[#This Row],[Product_ID]],products[Product_ID],products[Product_Name])</f>
        <v>Camera 10</v>
      </c>
      <c r="K248" t="str">
        <f>_xlfn.XLOOKUP(sales[[#This Row],[Store_ID]],stores[Store_ID],stores[Store_Name])</f>
        <v>Chennai Store</v>
      </c>
      <c r="L248" t="str">
        <f>_xlfn.XLOOKUP(sales[[#This Row],[Customer_ID]],customers[Customer_ID],customers[Customer_Name])</f>
        <v>Ramesh_125</v>
      </c>
      <c r="M248" t="str">
        <f>IF(sales[[#This Row],[Total_Amount]]&gt;=50000,"High Sales","Low Sales")</f>
        <v>Low Sales</v>
      </c>
      <c r="N248">
        <f>sales[[#This Row],[Total_Amount]]/sales[[#This Row],[Quantity]]</f>
        <v>3245.27</v>
      </c>
    </row>
    <row r="249" spans="1:14" x14ac:dyDescent="0.3">
      <c r="A249" t="s">
        <v>945</v>
      </c>
      <c r="B249">
        <v>1007</v>
      </c>
      <c r="C249" t="s">
        <v>122</v>
      </c>
      <c r="D249" t="s">
        <v>59</v>
      </c>
      <c r="E249" t="s">
        <v>946</v>
      </c>
      <c r="F249">
        <v>1</v>
      </c>
      <c r="G249">
        <v>49972.56</v>
      </c>
      <c r="H249" t="s">
        <v>531</v>
      </c>
      <c r="I249">
        <v>2026</v>
      </c>
      <c r="J249" t="str">
        <f>_xlfn.XLOOKUP(sales[[#This Row],[Product_ID]],products[Product_ID],products[Product_Name])</f>
        <v>Router 26</v>
      </c>
      <c r="K249" t="str">
        <f>_xlfn.XLOOKUP(sales[[#This Row],[Store_ID]],stores[Store_ID],stores[Store_Name])</f>
        <v>Chennai Store</v>
      </c>
      <c r="L249" t="str">
        <f>_xlfn.XLOOKUP(sales[[#This Row],[Customer_ID]],customers[Customer_ID],customers[Customer_Name])</f>
        <v>Rahul_7</v>
      </c>
      <c r="M249" t="str">
        <f>IF(sales[[#This Row],[Total_Amount]]&gt;=50000,"High Sales","Low Sales")</f>
        <v>Low Sales</v>
      </c>
      <c r="N249">
        <f>sales[[#This Row],[Total_Amount]]/sales[[#This Row],[Quantity]]</f>
        <v>49972.56</v>
      </c>
    </row>
    <row r="250" spans="1:14" x14ac:dyDescent="0.3">
      <c r="A250" t="s">
        <v>947</v>
      </c>
      <c r="B250">
        <v>1085</v>
      </c>
      <c r="C250" t="s">
        <v>116</v>
      </c>
      <c r="D250" t="s">
        <v>42</v>
      </c>
      <c r="E250" t="s">
        <v>687</v>
      </c>
      <c r="F250">
        <v>3</v>
      </c>
      <c r="G250">
        <v>242353.77</v>
      </c>
      <c r="H250" t="s">
        <v>540</v>
      </c>
      <c r="I250">
        <v>2025</v>
      </c>
      <c r="J250" t="str">
        <f>_xlfn.XLOOKUP(sales[[#This Row],[Product_ID]],products[Product_ID],products[Product_Name])</f>
        <v>Microwave 23</v>
      </c>
      <c r="K250" t="str">
        <f>_xlfn.XLOOKUP(sales[[#This Row],[Store_ID]],stores[Store_ID],stores[Store_Name])</f>
        <v>Hyderabad Store</v>
      </c>
      <c r="L250" t="str">
        <f>_xlfn.XLOOKUP(sales[[#This Row],[Customer_ID]],customers[Customer_ID],customers[Customer_Name])</f>
        <v>Sneha_85</v>
      </c>
      <c r="M250" t="str">
        <f>IF(sales[[#This Row],[Total_Amount]]&gt;=50000,"High Sales","Low Sales")</f>
        <v>High Sales</v>
      </c>
      <c r="N250">
        <f>sales[[#This Row],[Total_Amount]]/sales[[#This Row],[Quantity]]</f>
        <v>80784.59</v>
      </c>
    </row>
    <row r="251" spans="1:14" x14ac:dyDescent="0.3">
      <c r="A251" t="s">
        <v>948</v>
      </c>
      <c r="B251">
        <v>1167</v>
      </c>
      <c r="C251" t="s">
        <v>79</v>
      </c>
      <c r="D251" t="s">
        <v>59</v>
      </c>
      <c r="E251" t="s">
        <v>885</v>
      </c>
      <c r="F251">
        <v>5</v>
      </c>
      <c r="G251">
        <v>477286.65</v>
      </c>
      <c r="H251" t="s">
        <v>561</v>
      </c>
      <c r="I251">
        <v>2025</v>
      </c>
      <c r="J251" t="str">
        <f>_xlfn.XLOOKUP(sales[[#This Row],[Product_ID]],products[Product_ID],products[Product_Name])</f>
        <v>Smartphone 5</v>
      </c>
      <c r="K251" t="str">
        <f>_xlfn.XLOOKUP(sales[[#This Row],[Store_ID]],stores[Store_ID],stores[Store_Name])</f>
        <v>Chennai Store</v>
      </c>
      <c r="L251" t="str">
        <f>_xlfn.XLOOKUP(sales[[#This Row],[Customer_ID]],customers[Customer_ID],customers[Customer_Name])</f>
        <v>Nikhil_167</v>
      </c>
      <c r="M251" t="str">
        <f>IF(sales[[#This Row],[Total_Amount]]&gt;=50000,"High Sales","Low Sales")</f>
        <v>High Sales</v>
      </c>
      <c r="N251">
        <f>sales[[#This Row],[Total_Amount]]/sales[[#This Row],[Quantity]]</f>
        <v>95457.33</v>
      </c>
    </row>
    <row r="252" spans="1:14" x14ac:dyDescent="0.3">
      <c r="A252" t="s">
        <v>949</v>
      </c>
      <c r="B252">
        <v>1004</v>
      </c>
      <c r="C252" t="s">
        <v>108</v>
      </c>
      <c r="D252" t="s">
        <v>62</v>
      </c>
      <c r="E252" t="s">
        <v>950</v>
      </c>
      <c r="F252">
        <v>2</v>
      </c>
      <c r="G252">
        <v>98213.96</v>
      </c>
      <c r="H252" t="s">
        <v>540</v>
      </c>
      <c r="I252">
        <v>2025</v>
      </c>
      <c r="J252" t="str">
        <f>_xlfn.XLOOKUP(sales[[#This Row],[Product_ID]],products[Product_ID],products[Product_Name])</f>
        <v>Mouse 19</v>
      </c>
      <c r="K252" t="str">
        <f>_xlfn.XLOOKUP(sales[[#This Row],[Store_ID]],stores[Store_ID],stores[Store_Name])</f>
        <v>Pune Store</v>
      </c>
      <c r="L252" t="str">
        <f>_xlfn.XLOOKUP(sales[[#This Row],[Customer_ID]],customers[Customer_ID],customers[Customer_Name])</f>
        <v>Rahul_4</v>
      </c>
      <c r="M252" t="str">
        <f>IF(sales[[#This Row],[Total_Amount]]&gt;=50000,"High Sales","Low Sales")</f>
        <v>High Sales</v>
      </c>
      <c r="N252">
        <f>sales[[#This Row],[Total_Amount]]/sales[[#This Row],[Quantity]]</f>
        <v>49106.98</v>
      </c>
    </row>
    <row r="253" spans="1:14" x14ac:dyDescent="0.3">
      <c r="A253" t="s">
        <v>951</v>
      </c>
      <c r="B253">
        <v>1029</v>
      </c>
      <c r="C253" t="s">
        <v>92</v>
      </c>
      <c r="D253" t="s">
        <v>42</v>
      </c>
      <c r="E253" t="s">
        <v>952</v>
      </c>
      <c r="F253">
        <v>4</v>
      </c>
      <c r="G253">
        <v>17283.52</v>
      </c>
      <c r="H253" t="s">
        <v>537</v>
      </c>
      <c r="I253">
        <v>2025</v>
      </c>
      <c r="J253" t="str">
        <f>_xlfn.XLOOKUP(sales[[#This Row],[Product_ID]],products[Product_ID],products[Product_Name])</f>
        <v>Smartphone 11</v>
      </c>
      <c r="K253" t="str">
        <f>_xlfn.XLOOKUP(sales[[#This Row],[Store_ID]],stores[Store_ID],stores[Store_Name])</f>
        <v>Hyderabad Store</v>
      </c>
      <c r="L253" t="str">
        <f>_xlfn.XLOOKUP(sales[[#This Row],[Customer_ID]],customers[Customer_ID],customers[Customer_Name])</f>
        <v>Kiran_29</v>
      </c>
      <c r="M253" t="str">
        <f>IF(sales[[#This Row],[Total_Amount]]&gt;=50000,"High Sales","Low Sales")</f>
        <v>Low Sales</v>
      </c>
      <c r="N253">
        <f>sales[[#This Row],[Total_Amount]]/sales[[#This Row],[Quantity]]</f>
        <v>4320.88</v>
      </c>
    </row>
    <row r="254" spans="1:14" x14ac:dyDescent="0.3">
      <c r="A254" t="s">
        <v>953</v>
      </c>
      <c r="B254">
        <v>1160</v>
      </c>
      <c r="C254" t="s">
        <v>81</v>
      </c>
      <c r="D254" t="s">
        <v>53</v>
      </c>
      <c r="E254" t="s">
        <v>527</v>
      </c>
      <c r="F254">
        <v>1</v>
      </c>
      <c r="G254">
        <v>40338.22</v>
      </c>
      <c r="H254" t="s">
        <v>528</v>
      </c>
      <c r="I254">
        <v>2025</v>
      </c>
      <c r="J254" t="str">
        <f>_xlfn.XLOOKUP(sales[[#This Row],[Product_ID]],products[Product_ID],products[Product_Name])</f>
        <v>Camera 6</v>
      </c>
      <c r="K254" t="str">
        <f>_xlfn.XLOOKUP(sales[[#This Row],[Store_ID]],stores[Store_ID],stores[Store_Name])</f>
        <v>Warangal Store</v>
      </c>
      <c r="L254" t="str">
        <f>_xlfn.XLOOKUP(sales[[#This Row],[Customer_ID]],customers[Customer_ID],customers[Customer_Name])</f>
        <v>Priya_160</v>
      </c>
      <c r="M254" t="str">
        <f>IF(sales[[#This Row],[Total_Amount]]&gt;=50000,"High Sales","Low Sales")</f>
        <v>Low Sales</v>
      </c>
      <c r="N254">
        <f>sales[[#This Row],[Total_Amount]]/sales[[#This Row],[Quantity]]</f>
        <v>40338.22</v>
      </c>
    </row>
    <row r="255" spans="1:14" x14ac:dyDescent="0.3">
      <c r="A255" t="s">
        <v>954</v>
      </c>
      <c r="B255">
        <v>1182</v>
      </c>
      <c r="C255" t="s">
        <v>72</v>
      </c>
      <c r="D255" t="s">
        <v>57</v>
      </c>
      <c r="E255" t="s">
        <v>955</v>
      </c>
      <c r="F255">
        <v>4</v>
      </c>
      <c r="G255">
        <v>410058.84</v>
      </c>
      <c r="H255" t="s">
        <v>525</v>
      </c>
      <c r="I255">
        <v>2026</v>
      </c>
      <c r="J255" t="str">
        <f>_xlfn.XLOOKUP(sales[[#This Row],[Product_ID]],products[Product_ID],products[Product_Name])</f>
        <v>Headphones 2</v>
      </c>
      <c r="K255" t="str">
        <f>_xlfn.XLOOKUP(sales[[#This Row],[Store_ID]],stores[Store_ID],stores[Store_Name])</f>
        <v>Bengaluru Store</v>
      </c>
      <c r="L255" t="str">
        <f>_xlfn.XLOOKUP(sales[[#This Row],[Customer_ID]],customers[Customer_ID],customers[Customer_Name])</f>
        <v>Keerthi_182</v>
      </c>
      <c r="M255" t="str">
        <f>IF(sales[[#This Row],[Total_Amount]]&gt;=50000,"High Sales","Low Sales")</f>
        <v>High Sales</v>
      </c>
      <c r="N255">
        <f>sales[[#This Row],[Total_Amount]]/sales[[#This Row],[Quantity]]</f>
        <v>102514.71</v>
      </c>
    </row>
    <row r="256" spans="1:14" x14ac:dyDescent="0.3">
      <c r="A256" t="s">
        <v>956</v>
      </c>
      <c r="B256">
        <v>1095</v>
      </c>
      <c r="C256" t="s">
        <v>122</v>
      </c>
      <c r="D256" t="s">
        <v>48</v>
      </c>
      <c r="E256" t="s">
        <v>957</v>
      </c>
      <c r="F256">
        <v>3</v>
      </c>
      <c r="G256">
        <v>19370.97</v>
      </c>
      <c r="H256" t="s">
        <v>531</v>
      </c>
      <c r="I256">
        <v>2026</v>
      </c>
      <c r="J256" t="str">
        <f>_xlfn.XLOOKUP(sales[[#This Row],[Product_ID]],products[Product_ID],products[Product_Name])</f>
        <v>Router 26</v>
      </c>
      <c r="K256" t="str">
        <f>_xlfn.XLOOKUP(sales[[#This Row],[Store_ID]],stores[Store_ID],stores[Store_Name])</f>
        <v>Visakhapatnam Store</v>
      </c>
      <c r="L256" t="str">
        <f>_xlfn.XLOOKUP(sales[[#This Row],[Customer_ID]],customers[Customer_ID],customers[Customer_Name])</f>
        <v>Divya_95</v>
      </c>
      <c r="M256" t="str">
        <f>IF(sales[[#This Row],[Total_Amount]]&gt;=50000,"High Sales","Low Sales")</f>
        <v>Low Sales</v>
      </c>
      <c r="N256">
        <f>sales[[#This Row],[Total_Amount]]/sales[[#This Row],[Quantity]]</f>
        <v>6456.9900000000007</v>
      </c>
    </row>
    <row r="257" spans="1:14" x14ac:dyDescent="0.3">
      <c r="A257" t="s">
        <v>958</v>
      </c>
      <c r="B257">
        <v>1171</v>
      </c>
      <c r="C257" t="s">
        <v>75</v>
      </c>
      <c r="D257" t="s">
        <v>50</v>
      </c>
      <c r="E257" t="s">
        <v>957</v>
      </c>
      <c r="F257">
        <v>5</v>
      </c>
      <c r="G257">
        <v>37094.300000000003</v>
      </c>
      <c r="H257" t="s">
        <v>531</v>
      </c>
      <c r="I257">
        <v>2026</v>
      </c>
      <c r="J257" t="str">
        <f>_xlfn.XLOOKUP(sales[[#This Row],[Product_ID]],products[Product_ID],products[Product_Name])</f>
        <v>Smart Watch 3</v>
      </c>
      <c r="K257" t="str">
        <f>_xlfn.XLOOKUP(sales[[#This Row],[Store_ID]],stores[Store_ID],stores[Store_Name])</f>
        <v>Guntur Store</v>
      </c>
      <c r="L257" t="str">
        <f>_xlfn.XLOOKUP(sales[[#This Row],[Customer_ID]],customers[Customer_ID],customers[Customer_Name])</f>
        <v>Priya_171</v>
      </c>
      <c r="M257" t="str">
        <f>IF(sales[[#This Row],[Total_Amount]]&gt;=50000,"High Sales","Low Sales")</f>
        <v>Low Sales</v>
      </c>
      <c r="N257">
        <f>sales[[#This Row],[Total_Amount]]/sales[[#This Row],[Quantity]]</f>
        <v>7418.8600000000006</v>
      </c>
    </row>
    <row r="258" spans="1:14" x14ac:dyDescent="0.3">
      <c r="A258" t="s">
        <v>959</v>
      </c>
      <c r="B258">
        <v>1023</v>
      </c>
      <c r="C258" t="s">
        <v>124</v>
      </c>
      <c r="D258" t="s">
        <v>62</v>
      </c>
      <c r="E258" t="s">
        <v>960</v>
      </c>
      <c r="F258">
        <v>4</v>
      </c>
      <c r="G258">
        <v>352957.88</v>
      </c>
      <c r="H258" t="s">
        <v>531</v>
      </c>
      <c r="I258">
        <v>2026</v>
      </c>
      <c r="J258" t="str">
        <f>_xlfn.XLOOKUP(sales[[#This Row],[Product_ID]],products[Product_ID],products[Product_Name])</f>
        <v>Mixer 27</v>
      </c>
      <c r="K258" t="str">
        <f>_xlfn.XLOOKUP(sales[[#This Row],[Store_ID]],stores[Store_ID],stores[Store_Name])</f>
        <v>Pune Store</v>
      </c>
      <c r="L258" t="str">
        <f>_xlfn.XLOOKUP(sales[[#This Row],[Customer_ID]],customers[Customer_ID],customers[Customer_Name])</f>
        <v>Arjun_23</v>
      </c>
      <c r="M258" t="str">
        <f>IF(sales[[#This Row],[Total_Amount]]&gt;=50000,"High Sales","Low Sales")</f>
        <v>High Sales</v>
      </c>
      <c r="N258">
        <f>sales[[#This Row],[Total_Amount]]/sales[[#This Row],[Quantity]]</f>
        <v>88239.47</v>
      </c>
    </row>
    <row r="259" spans="1:14" x14ac:dyDescent="0.3">
      <c r="A259" t="s">
        <v>961</v>
      </c>
      <c r="B259">
        <v>1118</v>
      </c>
      <c r="C259" t="s">
        <v>75</v>
      </c>
      <c r="D259" t="s">
        <v>62</v>
      </c>
      <c r="E259" t="s">
        <v>962</v>
      </c>
      <c r="F259">
        <v>4</v>
      </c>
      <c r="G259">
        <v>366643.92</v>
      </c>
      <c r="H259" t="s">
        <v>561</v>
      </c>
      <c r="I259">
        <v>2025</v>
      </c>
      <c r="J259" t="str">
        <f>_xlfn.XLOOKUP(sales[[#This Row],[Product_ID]],products[Product_ID],products[Product_Name])</f>
        <v>Smart Watch 3</v>
      </c>
      <c r="K259" t="str">
        <f>_xlfn.XLOOKUP(sales[[#This Row],[Store_ID]],stores[Store_ID],stores[Store_Name])</f>
        <v>Pune Store</v>
      </c>
      <c r="L259" t="str">
        <f>_xlfn.XLOOKUP(sales[[#This Row],[Customer_ID]],customers[Customer_ID],customers[Customer_Name])</f>
        <v>Ravi_118</v>
      </c>
      <c r="M259" t="str">
        <f>IF(sales[[#This Row],[Total_Amount]]&gt;=50000,"High Sales","Low Sales")</f>
        <v>High Sales</v>
      </c>
      <c r="N259">
        <f>sales[[#This Row],[Total_Amount]]/sales[[#This Row],[Quantity]]</f>
        <v>91660.98</v>
      </c>
    </row>
    <row r="260" spans="1:14" x14ac:dyDescent="0.3">
      <c r="A260" t="s">
        <v>963</v>
      </c>
      <c r="B260">
        <v>1044</v>
      </c>
      <c r="C260" t="s">
        <v>122</v>
      </c>
      <c r="D260" t="s">
        <v>42</v>
      </c>
      <c r="E260" t="s">
        <v>684</v>
      </c>
      <c r="F260">
        <v>2</v>
      </c>
      <c r="G260">
        <v>30063.34</v>
      </c>
      <c r="H260" t="s">
        <v>558</v>
      </c>
      <c r="I260">
        <v>2026</v>
      </c>
      <c r="J260" t="str">
        <f>_xlfn.XLOOKUP(sales[[#This Row],[Product_ID]],products[Product_ID],products[Product_Name])</f>
        <v>Router 26</v>
      </c>
      <c r="K260" t="str">
        <f>_xlfn.XLOOKUP(sales[[#This Row],[Store_ID]],stores[Store_ID],stores[Store_Name])</f>
        <v>Hyderabad Store</v>
      </c>
      <c r="L260" t="str">
        <f>_xlfn.XLOOKUP(sales[[#This Row],[Customer_ID]],customers[Customer_ID],customers[Customer_Name])</f>
        <v>Sita_44</v>
      </c>
      <c r="M260" t="str">
        <f>IF(sales[[#This Row],[Total_Amount]]&gt;=50000,"High Sales","Low Sales")</f>
        <v>Low Sales</v>
      </c>
      <c r="N260">
        <f>sales[[#This Row],[Total_Amount]]/sales[[#This Row],[Quantity]]</f>
        <v>15031.67</v>
      </c>
    </row>
    <row r="261" spans="1:14" x14ac:dyDescent="0.3">
      <c r="A261" t="s">
        <v>964</v>
      </c>
      <c r="B261">
        <v>1082</v>
      </c>
      <c r="C261" t="s">
        <v>108</v>
      </c>
      <c r="D261" t="s">
        <v>42</v>
      </c>
      <c r="E261" t="s">
        <v>623</v>
      </c>
      <c r="F261">
        <v>3</v>
      </c>
      <c r="G261">
        <v>333702.24</v>
      </c>
      <c r="H261" t="s">
        <v>575</v>
      </c>
      <c r="I261">
        <v>2025</v>
      </c>
      <c r="J261" t="str">
        <f>_xlfn.XLOOKUP(sales[[#This Row],[Product_ID]],products[Product_ID],products[Product_Name])</f>
        <v>Mouse 19</v>
      </c>
      <c r="K261" t="str">
        <f>_xlfn.XLOOKUP(sales[[#This Row],[Store_ID]],stores[Store_ID],stores[Store_Name])</f>
        <v>Hyderabad Store</v>
      </c>
      <c r="L261" t="str">
        <f>_xlfn.XLOOKUP(sales[[#This Row],[Customer_ID]],customers[Customer_ID],customers[Customer_Name])</f>
        <v>Keerthi_82</v>
      </c>
      <c r="M261" t="str">
        <f>IF(sales[[#This Row],[Total_Amount]]&gt;=50000,"High Sales","Low Sales")</f>
        <v>High Sales</v>
      </c>
      <c r="N261">
        <f>sales[[#This Row],[Total_Amount]]/sales[[#This Row],[Quantity]]</f>
        <v>111234.08</v>
      </c>
    </row>
    <row r="262" spans="1:14" x14ac:dyDescent="0.3">
      <c r="A262" t="s">
        <v>965</v>
      </c>
      <c r="B262">
        <v>1175</v>
      </c>
      <c r="C262" t="s">
        <v>88</v>
      </c>
      <c r="D262" t="s">
        <v>42</v>
      </c>
      <c r="E262" t="s">
        <v>966</v>
      </c>
      <c r="F262">
        <v>1</v>
      </c>
      <c r="G262">
        <v>99354.83</v>
      </c>
      <c r="H262" t="s">
        <v>531</v>
      </c>
      <c r="I262">
        <v>2026</v>
      </c>
      <c r="J262" t="str">
        <f>_xlfn.XLOOKUP(sales[[#This Row],[Product_ID]],products[Product_ID],products[Product_Name])</f>
        <v>Headphones 9</v>
      </c>
      <c r="K262" t="str">
        <f>_xlfn.XLOOKUP(sales[[#This Row],[Store_ID]],stores[Store_ID],stores[Store_Name])</f>
        <v>Hyderabad Store</v>
      </c>
      <c r="L262" t="str">
        <f>_xlfn.XLOOKUP(sales[[#This Row],[Customer_ID]],customers[Customer_ID],customers[Customer_Name])</f>
        <v>Ramesh_175</v>
      </c>
      <c r="M262" t="str">
        <f>IF(sales[[#This Row],[Total_Amount]]&gt;=50000,"High Sales","Low Sales")</f>
        <v>High Sales</v>
      </c>
      <c r="N262">
        <f>sales[[#This Row],[Total_Amount]]/sales[[#This Row],[Quantity]]</f>
        <v>99354.83</v>
      </c>
    </row>
    <row r="263" spans="1:14" x14ac:dyDescent="0.3">
      <c r="A263" t="s">
        <v>967</v>
      </c>
      <c r="B263">
        <v>1164</v>
      </c>
      <c r="C263" t="s">
        <v>106</v>
      </c>
      <c r="D263" t="s">
        <v>46</v>
      </c>
      <c r="E263" t="s">
        <v>968</v>
      </c>
      <c r="F263">
        <v>2</v>
      </c>
      <c r="G263">
        <v>33895.160000000003</v>
      </c>
      <c r="H263" t="s">
        <v>561</v>
      </c>
      <c r="I263">
        <v>2025</v>
      </c>
      <c r="J263" t="str">
        <f>_xlfn.XLOOKUP(sales[[#This Row],[Product_ID]],products[Product_ID],products[Product_Name])</f>
        <v>Microwave 18</v>
      </c>
      <c r="K263" t="str">
        <f>_xlfn.XLOOKUP(sales[[#This Row],[Store_ID]],stores[Store_ID],stores[Store_Name])</f>
        <v>Vijayawada Store</v>
      </c>
      <c r="L263" t="str">
        <f>_xlfn.XLOOKUP(sales[[#This Row],[Customer_ID]],customers[Customer_ID],customers[Customer_Name])</f>
        <v>Anjali_164</v>
      </c>
      <c r="M263" t="str">
        <f>IF(sales[[#This Row],[Total_Amount]]&gt;=50000,"High Sales","Low Sales")</f>
        <v>Low Sales</v>
      </c>
      <c r="N263">
        <f>sales[[#This Row],[Total_Amount]]/sales[[#This Row],[Quantity]]</f>
        <v>16947.580000000002</v>
      </c>
    </row>
    <row r="264" spans="1:14" x14ac:dyDescent="0.3">
      <c r="A264" t="s">
        <v>969</v>
      </c>
      <c r="B264">
        <v>1139</v>
      </c>
      <c r="C264" t="s">
        <v>126</v>
      </c>
      <c r="D264" t="s">
        <v>48</v>
      </c>
      <c r="E264" t="s">
        <v>970</v>
      </c>
      <c r="F264">
        <v>4</v>
      </c>
      <c r="G264">
        <v>312633.08</v>
      </c>
      <c r="H264" t="s">
        <v>525</v>
      </c>
      <c r="I264">
        <v>2026</v>
      </c>
      <c r="J264" t="str">
        <f>_xlfn.XLOOKUP(sales[[#This Row],[Product_ID]],products[Product_ID],products[Product_Name])</f>
        <v>Router 28</v>
      </c>
      <c r="K264" t="str">
        <f>_xlfn.XLOOKUP(sales[[#This Row],[Store_ID]],stores[Store_ID],stores[Store_Name])</f>
        <v>Visakhapatnam Store</v>
      </c>
      <c r="L264" t="str">
        <f>_xlfn.XLOOKUP(sales[[#This Row],[Customer_ID]],customers[Customer_ID],customers[Customer_Name])</f>
        <v>Nikhil_139</v>
      </c>
      <c r="M264" t="str">
        <f>IF(sales[[#This Row],[Total_Amount]]&gt;=50000,"High Sales","Low Sales")</f>
        <v>High Sales</v>
      </c>
      <c r="N264">
        <f>sales[[#This Row],[Total_Amount]]/sales[[#This Row],[Quantity]]</f>
        <v>78158.27</v>
      </c>
    </row>
    <row r="265" spans="1:14" x14ac:dyDescent="0.3">
      <c r="A265" t="s">
        <v>971</v>
      </c>
      <c r="B265">
        <v>1108</v>
      </c>
      <c r="C265" t="s">
        <v>84</v>
      </c>
      <c r="D265" t="s">
        <v>62</v>
      </c>
      <c r="E265" t="s">
        <v>380</v>
      </c>
      <c r="F265">
        <v>4</v>
      </c>
      <c r="G265">
        <v>166132.4</v>
      </c>
      <c r="H265" t="s">
        <v>537</v>
      </c>
      <c r="I265">
        <v>2025</v>
      </c>
      <c r="J265" t="str">
        <f>_xlfn.XLOOKUP(sales[[#This Row],[Product_ID]],products[Product_ID],products[Product_Name])</f>
        <v>Headphones 7</v>
      </c>
      <c r="K265" t="str">
        <f>_xlfn.XLOOKUP(sales[[#This Row],[Store_ID]],stores[Store_ID],stores[Store_Name])</f>
        <v>Pune Store</v>
      </c>
      <c r="L265" t="str">
        <f>_xlfn.XLOOKUP(sales[[#This Row],[Customer_ID]],customers[Customer_ID],customers[Customer_Name])</f>
        <v>Priya_108</v>
      </c>
      <c r="M265" t="str">
        <f>IF(sales[[#This Row],[Total_Amount]]&gt;=50000,"High Sales","Low Sales")</f>
        <v>High Sales</v>
      </c>
      <c r="N265">
        <f>sales[[#This Row],[Total_Amount]]/sales[[#This Row],[Quantity]]</f>
        <v>41533.1</v>
      </c>
    </row>
    <row r="266" spans="1:14" x14ac:dyDescent="0.3">
      <c r="A266" t="s">
        <v>972</v>
      </c>
      <c r="B266">
        <v>1082</v>
      </c>
      <c r="C266" t="s">
        <v>98</v>
      </c>
      <c r="D266" t="s">
        <v>46</v>
      </c>
      <c r="E266" t="s">
        <v>973</v>
      </c>
      <c r="F266">
        <v>3</v>
      </c>
      <c r="G266">
        <v>5332.35</v>
      </c>
      <c r="H266" t="s">
        <v>528</v>
      </c>
      <c r="I266">
        <v>2025</v>
      </c>
      <c r="J266" t="str">
        <f>_xlfn.XLOOKUP(sales[[#This Row],[Product_ID]],products[Product_ID],products[Product_Name])</f>
        <v>Camera 14</v>
      </c>
      <c r="K266" t="str">
        <f>_xlfn.XLOOKUP(sales[[#This Row],[Store_ID]],stores[Store_ID],stores[Store_Name])</f>
        <v>Vijayawada Store</v>
      </c>
      <c r="L266" t="str">
        <f>_xlfn.XLOOKUP(sales[[#This Row],[Customer_ID]],customers[Customer_ID],customers[Customer_Name])</f>
        <v>Keerthi_82</v>
      </c>
      <c r="M266" t="str">
        <f>IF(sales[[#This Row],[Total_Amount]]&gt;=50000,"High Sales","Low Sales")</f>
        <v>Low Sales</v>
      </c>
      <c r="N266">
        <f>sales[[#This Row],[Total_Amount]]/sales[[#This Row],[Quantity]]</f>
        <v>1777.45</v>
      </c>
    </row>
    <row r="267" spans="1:14" x14ac:dyDescent="0.3">
      <c r="A267" t="s">
        <v>974</v>
      </c>
      <c r="B267">
        <v>1084</v>
      </c>
      <c r="C267" t="s">
        <v>128</v>
      </c>
      <c r="D267" t="s">
        <v>48</v>
      </c>
      <c r="E267" t="s">
        <v>975</v>
      </c>
      <c r="F267">
        <v>3</v>
      </c>
      <c r="G267">
        <v>174270.48</v>
      </c>
      <c r="H267" t="s">
        <v>525</v>
      </c>
      <c r="I267">
        <v>2026</v>
      </c>
      <c r="J267" t="str">
        <f>_xlfn.XLOOKUP(sales[[#This Row],[Product_ID]],products[Product_ID],products[Product_Name])</f>
        <v>Printer 29</v>
      </c>
      <c r="K267" t="str">
        <f>_xlfn.XLOOKUP(sales[[#This Row],[Store_ID]],stores[Store_ID],stores[Store_Name])</f>
        <v>Visakhapatnam Store</v>
      </c>
      <c r="L267" t="str">
        <f>_xlfn.XLOOKUP(sales[[#This Row],[Customer_ID]],customers[Customer_ID],customers[Customer_Name])</f>
        <v>Vikram_84</v>
      </c>
      <c r="M267" t="str">
        <f>IF(sales[[#This Row],[Total_Amount]]&gt;=50000,"High Sales","Low Sales")</f>
        <v>High Sales</v>
      </c>
      <c r="N267">
        <f>sales[[#This Row],[Total_Amount]]/sales[[#This Row],[Quantity]]</f>
        <v>58090.16</v>
      </c>
    </row>
    <row r="268" spans="1:14" x14ac:dyDescent="0.3">
      <c r="A268" t="s">
        <v>976</v>
      </c>
      <c r="B268">
        <v>1017</v>
      </c>
      <c r="C268" t="s">
        <v>102</v>
      </c>
      <c r="D268" t="s">
        <v>48</v>
      </c>
      <c r="E268" t="s">
        <v>651</v>
      </c>
      <c r="F268">
        <v>5</v>
      </c>
      <c r="G268">
        <v>220028.3</v>
      </c>
      <c r="H268" t="s">
        <v>525</v>
      </c>
      <c r="I268">
        <v>2025</v>
      </c>
      <c r="J268" t="str">
        <f>_xlfn.XLOOKUP(sales[[#This Row],[Product_ID]],products[Product_ID],products[Product_Name])</f>
        <v>Power Bank 16</v>
      </c>
      <c r="K268" t="str">
        <f>_xlfn.XLOOKUP(sales[[#This Row],[Store_ID]],stores[Store_ID],stores[Store_Name])</f>
        <v>Visakhapatnam Store</v>
      </c>
      <c r="L268" t="str">
        <f>_xlfn.XLOOKUP(sales[[#This Row],[Customer_ID]],customers[Customer_ID],customers[Customer_Name])</f>
        <v>Kiran_17</v>
      </c>
      <c r="M268" t="str">
        <f>IF(sales[[#This Row],[Total_Amount]]&gt;=50000,"High Sales","Low Sales")</f>
        <v>High Sales</v>
      </c>
      <c r="N268">
        <f>sales[[#This Row],[Total_Amount]]/sales[[#This Row],[Quantity]]</f>
        <v>44005.659999999996</v>
      </c>
    </row>
    <row r="269" spans="1:14" x14ac:dyDescent="0.3">
      <c r="A269" t="s">
        <v>977</v>
      </c>
      <c r="B269">
        <v>1149</v>
      </c>
      <c r="C269" t="s">
        <v>102</v>
      </c>
      <c r="D269" t="s">
        <v>59</v>
      </c>
      <c r="E269" t="s">
        <v>978</v>
      </c>
      <c r="F269">
        <v>1</v>
      </c>
      <c r="G269">
        <v>5764.7</v>
      </c>
      <c r="H269" t="s">
        <v>545</v>
      </c>
      <c r="I269">
        <v>2026</v>
      </c>
      <c r="J269" t="str">
        <f>_xlfn.XLOOKUP(sales[[#This Row],[Product_ID]],products[Product_ID],products[Product_Name])</f>
        <v>Power Bank 16</v>
      </c>
      <c r="K269" t="str">
        <f>_xlfn.XLOOKUP(sales[[#This Row],[Store_ID]],stores[Store_ID],stores[Store_Name])</f>
        <v>Chennai Store</v>
      </c>
      <c r="L269" t="str">
        <f>_xlfn.XLOOKUP(sales[[#This Row],[Customer_ID]],customers[Customer_ID],customers[Customer_Name])</f>
        <v>Akhil_149</v>
      </c>
      <c r="M269" t="str">
        <f>IF(sales[[#This Row],[Total_Amount]]&gt;=50000,"High Sales","Low Sales")</f>
        <v>Low Sales</v>
      </c>
      <c r="N269">
        <f>sales[[#This Row],[Total_Amount]]/sales[[#This Row],[Quantity]]</f>
        <v>5764.7</v>
      </c>
    </row>
    <row r="270" spans="1:14" x14ac:dyDescent="0.3">
      <c r="A270" t="s">
        <v>979</v>
      </c>
      <c r="B270">
        <v>1141</v>
      </c>
      <c r="C270" t="s">
        <v>112</v>
      </c>
      <c r="D270" t="s">
        <v>48</v>
      </c>
      <c r="E270" t="s">
        <v>308</v>
      </c>
      <c r="F270">
        <v>4</v>
      </c>
      <c r="G270">
        <v>130189.48</v>
      </c>
      <c r="H270" t="s">
        <v>545</v>
      </c>
      <c r="I270">
        <v>2025</v>
      </c>
      <c r="J270" t="str">
        <f>_xlfn.XLOOKUP(sales[[#This Row],[Product_ID]],products[Product_ID],products[Product_Name])</f>
        <v>Monitor 21</v>
      </c>
      <c r="K270" t="str">
        <f>_xlfn.XLOOKUP(sales[[#This Row],[Store_ID]],stores[Store_ID],stores[Store_Name])</f>
        <v>Visakhapatnam Store</v>
      </c>
      <c r="L270" t="str">
        <f>_xlfn.XLOOKUP(sales[[#This Row],[Customer_ID]],customers[Customer_ID],customers[Customer_Name])</f>
        <v>Arjun_141</v>
      </c>
      <c r="M270" t="str">
        <f>IF(sales[[#This Row],[Total_Amount]]&gt;=50000,"High Sales","Low Sales")</f>
        <v>High Sales</v>
      </c>
      <c r="N270">
        <f>sales[[#This Row],[Total_Amount]]/sales[[#This Row],[Quantity]]</f>
        <v>32547.37</v>
      </c>
    </row>
    <row r="271" spans="1:14" x14ac:dyDescent="0.3">
      <c r="A271" t="s">
        <v>980</v>
      </c>
      <c r="B271">
        <v>1184</v>
      </c>
      <c r="C271" t="s">
        <v>124</v>
      </c>
      <c r="D271" t="s">
        <v>48</v>
      </c>
      <c r="E271" t="s">
        <v>981</v>
      </c>
      <c r="F271">
        <v>3</v>
      </c>
      <c r="G271">
        <v>133617.29999999999</v>
      </c>
      <c r="H271" t="s">
        <v>525</v>
      </c>
      <c r="I271">
        <v>2026</v>
      </c>
      <c r="J271" t="str">
        <f>_xlfn.XLOOKUP(sales[[#This Row],[Product_ID]],products[Product_ID],products[Product_Name])</f>
        <v>Mixer 27</v>
      </c>
      <c r="K271" t="str">
        <f>_xlfn.XLOOKUP(sales[[#This Row],[Store_ID]],stores[Store_ID],stores[Store_Name])</f>
        <v>Visakhapatnam Store</v>
      </c>
      <c r="L271" t="str">
        <f>_xlfn.XLOOKUP(sales[[#This Row],[Customer_ID]],customers[Customer_ID],customers[Customer_Name])</f>
        <v>Keerthi_184</v>
      </c>
      <c r="M271" t="str">
        <f>IF(sales[[#This Row],[Total_Amount]]&gt;=50000,"High Sales","Low Sales")</f>
        <v>High Sales</v>
      </c>
      <c r="N271">
        <f>sales[[#This Row],[Total_Amount]]/sales[[#This Row],[Quantity]]</f>
        <v>44539.1</v>
      </c>
    </row>
    <row r="272" spans="1:14" x14ac:dyDescent="0.3">
      <c r="A272" t="s">
        <v>982</v>
      </c>
      <c r="B272">
        <v>1066</v>
      </c>
      <c r="C272" t="s">
        <v>86</v>
      </c>
      <c r="D272" t="s">
        <v>62</v>
      </c>
      <c r="E272" t="s">
        <v>598</v>
      </c>
      <c r="F272">
        <v>3</v>
      </c>
      <c r="G272">
        <v>4100.13</v>
      </c>
      <c r="H272" t="s">
        <v>575</v>
      </c>
      <c r="I272">
        <v>2025</v>
      </c>
      <c r="J272" t="str">
        <f>_xlfn.XLOOKUP(sales[[#This Row],[Product_ID]],products[Product_ID],products[Product_Name])</f>
        <v>Laptop 8</v>
      </c>
      <c r="K272" t="str">
        <f>_xlfn.XLOOKUP(sales[[#This Row],[Store_ID]],stores[Store_ID],stores[Store_Name])</f>
        <v>Pune Store</v>
      </c>
      <c r="L272" t="str">
        <f>_xlfn.XLOOKUP(sales[[#This Row],[Customer_ID]],customers[Customer_ID],customers[Customer_Name])</f>
        <v>Akhil_66</v>
      </c>
      <c r="M272" t="str">
        <f>IF(sales[[#This Row],[Total_Amount]]&gt;=50000,"High Sales","Low Sales")</f>
        <v>Low Sales</v>
      </c>
      <c r="N272">
        <f>sales[[#This Row],[Total_Amount]]/sales[[#This Row],[Quantity]]</f>
        <v>1366.71</v>
      </c>
    </row>
    <row r="273" spans="1:14" x14ac:dyDescent="0.3">
      <c r="A273" t="s">
        <v>983</v>
      </c>
      <c r="B273">
        <v>1180</v>
      </c>
      <c r="C273" t="s">
        <v>104</v>
      </c>
      <c r="D273" t="s">
        <v>42</v>
      </c>
      <c r="E273" t="s">
        <v>741</v>
      </c>
      <c r="F273">
        <v>3</v>
      </c>
      <c r="G273">
        <v>248848.29</v>
      </c>
      <c r="H273" t="s">
        <v>545</v>
      </c>
      <c r="I273">
        <v>2026</v>
      </c>
      <c r="J273" t="str">
        <f>_xlfn.XLOOKUP(sales[[#This Row],[Product_ID]],products[Product_ID],products[Product_Name])</f>
        <v>Mixer 17</v>
      </c>
      <c r="K273" t="str">
        <f>_xlfn.XLOOKUP(sales[[#This Row],[Store_ID]],stores[Store_ID],stores[Store_Name])</f>
        <v>Hyderabad Store</v>
      </c>
      <c r="L273" t="str">
        <f>_xlfn.XLOOKUP(sales[[#This Row],[Customer_ID]],customers[Customer_ID],customers[Customer_Name])</f>
        <v>Anjali_180</v>
      </c>
      <c r="M273" t="str">
        <f>IF(sales[[#This Row],[Total_Amount]]&gt;=50000,"High Sales","Low Sales")</f>
        <v>High Sales</v>
      </c>
      <c r="N273">
        <f>sales[[#This Row],[Total_Amount]]/sales[[#This Row],[Quantity]]</f>
        <v>82949.430000000008</v>
      </c>
    </row>
    <row r="274" spans="1:14" x14ac:dyDescent="0.3">
      <c r="A274" t="s">
        <v>984</v>
      </c>
      <c r="B274">
        <v>1158</v>
      </c>
      <c r="C274" t="s">
        <v>81</v>
      </c>
      <c r="D274" t="s">
        <v>62</v>
      </c>
      <c r="E274" t="s">
        <v>985</v>
      </c>
      <c r="F274">
        <v>5</v>
      </c>
      <c r="G274">
        <v>405914.2</v>
      </c>
      <c r="H274" t="s">
        <v>545</v>
      </c>
      <c r="I274">
        <v>2026</v>
      </c>
      <c r="J274" t="str">
        <f>_xlfn.XLOOKUP(sales[[#This Row],[Product_ID]],products[Product_ID],products[Product_Name])</f>
        <v>Camera 6</v>
      </c>
      <c r="K274" t="str">
        <f>_xlfn.XLOOKUP(sales[[#This Row],[Store_ID]],stores[Store_ID],stores[Store_Name])</f>
        <v>Pune Store</v>
      </c>
      <c r="L274" t="str">
        <f>_xlfn.XLOOKUP(sales[[#This Row],[Customer_ID]],customers[Customer_ID],customers[Customer_Name])</f>
        <v>Akhil_158</v>
      </c>
      <c r="M274" t="str">
        <f>IF(sales[[#This Row],[Total_Amount]]&gt;=50000,"High Sales","Low Sales")</f>
        <v>High Sales</v>
      </c>
      <c r="N274">
        <f>sales[[#This Row],[Total_Amount]]/sales[[#This Row],[Quantity]]</f>
        <v>81182.84</v>
      </c>
    </row>
    <row r="275" spans="1:14" x14ac:dyDescent="0.3">
      <c r="A275" t="s">
        <v>986</v>
      </c>
      <c r="B275">
        <v>1177</v>
      </c>
      <c r="C275" t="s">
        <v>122</v>
      </c>
      <c r="D275" t="s">
        <v>46</v>
      </c>
      <c r="E275" t="s">
        <v>987</v>
      </c>
      <c r="F275">
        <v>5</v>
      </c>
      <c r="G275">
        <v>438181.9</v>
      </c>
      <c r="H275" t="s">
        <v>545</v>
      </c>
      <c r="I275">
        <v>2025</v>
      </c>
      <c r="J275" t="str">
        <f>_xlfn.XLOOKUP(sales[[#This Row],[Product_ID]],products[Product_ID],products[Product_Name])</f>
        <v>Router 26</v>
      </c>
      <c r="K275" t="str">
        <f>_xlfn.XLOOKUP(sales[[#This Row],[Store_ID]],stores[Store_ID],stores[Store_Name])</f>
        <v>Vijayawada Store</v>
      </c>
      <c r="L275" t="str">
        <f>_xlfn.XLOOKUP(sales[[#This Row],[Customer_ID]],customers[Customer_ID],customers[Customer_Name])</f>
        <v>Vikram_177</v>
      </c>
      <c r="M275" t="str">
        <f>IF(sales[[#This Row],[Total_Amount]]&gt;=50000,"High Sales","Low Sales")</f>
        <v>High Sales</v>
      </c>
      <c r="N275">
        <f>sales[[#This Row],[Total_Amount]]/sales[[#This Row],[Quantity]]</f>
        <v>87636.38</v>
      </c>
    </row>
    <row r="276" spans="1:14" x14ac:dyDescent="0.3">
      <c r="A276" t="s">
        <v>988</v>
      </c>
      <c r="B276">
        <v>1048</v>
      </c>
      <c r="C276" t="s">
        <v>112</v>
      </c>
      <c r="D276" t="s">
        <v>50</v>
      </c>
      <c r="E276" t="s">
        <v>524</v>
      </c>
      <c r="F276">
        <v>5</v>
      </c>
      <c r="G276">
        <v>374785.3</v>
      </c>
      <c r="H276" t="s">
        <v>525</v>
      </c>
      <c r="I276">
        <v>2025</v>
      </c>
      <c r="J276" t="str">
        <f>_xlfn.XLOOKUP(sales[[#This Row],[Product_ID]],products[Product_ID],products[Product_Name])</f>
        <v>Monitor 21</v>
      </c>
      <c r="K276" t="str">
        <f>_xlfn.XLOOKUP(sales[[#This Row],[Store_ID]],stores[Store_ID],stores[Store_Name])</f>
        <v>Guntur Store</v>
      </c>
      <c r="L276" t="str">
        <f>_xlfn.XLOOKUP(sales[[#This Row],[Customer_ID]],customers[Customer_ID],customers[Customer_Name])</f>
        <v>Rahul_48</v>
      </c>
      <c r="M276" t="str">
        <f>IF(sales[[#This Row],[Total_Amount]]&gt;=50000,"High Sales","Low Sales")</f>
        <v>High Sales</v>
      </c>
      <c r="N276">
        <f>sales[[#This Row],[Total_Amount]]/sales[[#This Row],[Quantity]]</f>
        <v>74957.06</v>
      </c>
    </row>
    <row r="277" spans="1:14" x14ac:dyDescent="0.3">
      <c r="A277" t="s">
        <v>989</v>
      </c>
      <c r="B277">
        <v>1144</v>
      </c>
      <c r="C277" t="s">
        <v>130</v>
      </c>
      <c r="D277" t="s">
        <v>57</v>
      </c>
      <c r="E277" t="s">
        <v>990</v>
      </c>
      <c r="F277">
        <v>4</v>
      </c>
      <c r="G277">
        <v>236634.6</v>
      </c>
      <c r="H277" t="s">
        <v>561</v>
      </c>
      <c r="I277">
        <v>2025</v>
      </c>
      <c r="J277" t="str">
        <f>_xlfn.XLOOKUP(sales[[#This Row],[Product_ID]],products[Product_ID],products[Product_Name])</f>
        <v>Monitor 30</v>
      </c>
      <c r="K277" t="str">
        <f>_xlfn.XLOOKUP(sales[[#This Row],[Store_ID]],stores[Store_ID],stores[Store_Name])</f>
        <v>Bengaluru Store</v>
      </c>
      <c r="L277" t="str">
        <f>_xlfn.XLOOKUP(sales[[#This Row],[Customer_ID]],customers[Customer_ID],customers[Customer_Name])</f>
        <v>Ramesh_144</v>
      </c>
      <c r="M277" t="str">
        <f>IF(sales[[#This Row],[Total_Amount]]&gt;=50000,"High Sales","Low Sales")</f>
        <v>High Sales</v>
      </c>
      <c r="N277">
        <f>sales[[#This Row],[Total_Amount]]/sales[[#This Row],[Quantity]]</f>
        <v>59158.65</v>
      </c>
    </row>
    <row r="278" spans="1:14" x14ac:dyDescent="0.3">
      <c r="A278" t="s">
        <v>991</v>
      </c>
      <c r="B278">
        <v>1001</v>
      </c>
      <c r="C278" t="s">
        <v>79</v>
      </c>
      <c r="D278" t="s">
        <v>62</v>
      </c>
      <c r="E278" t="s">
        <v>992</v>
      </c>
      <c r="F278">
        <v>4</v>
      </c>
      <c r="G278">
        <v>55349.8</v>
      </c>
      <c r="H278" t="s">
        <v>525</v>
      </c>
      <c r="I278">
        <v>2025</v>
      </c>
      <c r="J278" t="str">
        <f>_xlfn.XLOOKUP(sales[[#This Row],[Product_ID]],products[Product_ID],products[Product_Name])</f>
        <v>Smartphone 5</v>
      </c>
      <c r="K278" t="str">
        <f>_xlfn.XLOOKUP(sales[[#This Row],[Store_ID]],stores[Store_ID],stores[Store_Name])</f>
        <v>Pune Store</v>
      </c>
      <c r="L278" t="str">
        <f>_xlfn.XLOOKUP(sales[[#This Row],[Customer_ID]],customers[Customer_ID],customers[Customer_Name])</f>
        <v>Akhil_1</v>
      </c>
      <c r="M278" t="str">
        <f>IF(sales[[#This Row],[Total_Amount]]&gt;=50000,"High Sales","Low Sales")</f>
        <v>High Sales</v>
      </c>
      <c r="N278">
        <f>sales[[#This Row],[Total_Amount]]/sales[[#This Row],[Quantity]]</f>
        <v>13837.45</v>
      </c>
    </row>
    <row r="279" spans="1:14" x14ac:dyDescent="0.3">
      <c r="A279" t="s">
        <v>993</v>
      </c>
      <c r="B279">
        <v>1165</v>
      </c>
      <c r="C279" t="s">
        <v>84</v>
      </c>
      <c r="D279" t="s">
        <v>48</v>
      </c>
      <c r="E279" t="s">
        <v>994</v>
      </c>
      <c r="F279">
        <v>4</v>
      </c>
      <c r="G279">
        <v>130173.56</v>
      </c>
      <c r="H279" t="s">
        <v>528</v>
      </c>
      <c r="I279">
        <v>2025</v>
      </c>
      <c r="J279" t="str">
        <f>_xlfn.XLOOKUP(sales[[#This Row],[Product_ID]],products[Product_ID],products[Product_Name])</f>
        <v>Headphones 7</v>
      </c>
      <c r="K279" t="str">
        <f>_xlfn.XLOOKUP(sales[[#This Row],[Store_ID]],stores[Store_ID],stores[Store_Name])</f>
        <v>Visakhapatnam Store</v>
      </c>
      <c r="L279" t="str">
        <f>_xlfn.XLOOKUP(sales[[#This Row],[Customer_ID]],customers[Customer_ID],customers[Customer_Name])</f>
        <v>Akhil_165</v>
      </c>
      <c r="M279" t="str">
        <f>IF(sales[[#This Row],[Total_Amount]]&gt;=50000,"High Sales","Low Sales")</f>
        <v>High Sales</v>
      </c>
      <c r="N279">
        <f>sales[[#This Row],[Total_Amount]]/sales[[#This Row],[Quantity]]</f>
        <v>32543.39</v>
      </c>
    </row>
    <row r="280" spans="1:14" x14ac:dyDescent="0.3">
      <c r="A280" t="s">
        <v>995</v>
      </c>
      <c r="B280">
        <v>1017</v>
      </c>
      <c r="C280" t="s">
        <v>75</v>
      </c>
      <c r="D280" t="s">
        <v>53</v>
      </c>
      <c r="E280" t="s">
        <v>996</v>
      </c>
      <c r="F280">
        <v>2</v>
      </c>
      <c r="G280">
        <v>128219.06</v>
      </c>
      <c r="H280" t="s">
        <v>522</v>
      </c>
      <c r="I280">
        <v>2025</v>
      </c>
      <c r="J280" t="str">
        <f>_xlfn.XLOOKUP(sales[[#This Row],[Product_ID]],products[Product_ID],products[Product_Name])</f>
        <v>Smart Watch 3</v>
      </c>
      <c r="K280" t="str">
        <f>_xlfn.XLOOKUP(sales[[#This Row],[Store_ID]],stores[Store_ID],stores[Store_Name])</f>
        <v>Warangal Store</v>
      </c>
      <c r="L280" t="str">
        <f>_xlfn.XLOOKUP(sales[[#This Row],[Customer_ID]],customers[Customer_ID],customers[Customer_Name])</f>
        <v>Kiran_17</v>
      </c>
      <c r="M280" t="str">
        <f>IF(sales[[#This Row],[Total_Amount]]&gt;=50000,"High Sales","Low Sales")</f>
        <v>High Sales</v>
      </c>
      <c r="N280">
        <f>sales[[#This Row],[Total_Amount]]/sales[[#This Row],[Quantity]]</f>
        <v>64109.53</v>
      </c>
    </row>
    <row r="281" spans="1:14" x14ac:dyDescent="0.3">
      <c r="A281" t="s">
        <v>997</v>
      </c>
      <c r="B281">
        <v>1104</v>
      </c>
      <c r="C281" t="s">
        <v>130</v>
      </c>
      <c r="D281" t="s">
        <v>50</v>
      </c>
      <c r="E281" t="s">
        <v>998</v>
      </c>
      <c r="F281">
        <v>5</v>
      </c>
      <c r="G281">
        <v>259930.05</v>
      </c>
      <c r="H281" t="s">
        <v>528</v>
      </c>
      <c r="I281">
        <v>2025</v>
      </c>
      <c r="J281" t="str">
        <f>_xlfn.XLOOKUP(sales[[#This Row],[Product_ID]],products[Product_ID],products[Product_Name])</f>
        <v>Monitor 30</v>
      </c>
      <c r="K281" t="str">
        <f>_xlfn.XLOOKUP(sales[[#This Row],[Store_ID]],stores[Store_ID],stores[Store_Name])</f>
        <v>Guntur Store</v>
      </c>
      <c r="L281" t="str">
        <f>_xlfn.XLOOKUP(sales[[#This Row],[Customer_ID]],customers[Customer_ID],customers[Customer_Name])</f>
        <v>Ravi_104</v>
      </c>
      <c r="M281" t="str">
        <f>IF(sales[[#This Row],[Total_Amount]]&gt;=50000,"High Sales","Low Sales")</f>
        <v>High Sales</v>
      </c>
      <c r="N281">
        <f>sales[[#This Row],[Total_Amount]]/sales[[#This Row],[Quantity]]</f>
        <v>51986.009999999995</v>
      </c>
    </row>
    <row r="282" spans="1:14" x14ac:dyDescent="0.3">
      <c r="A282" t="s">
        <v>999</v>
      </c>
      <c r="B282">
        <v>1021</v>
      </c>
      <c r="C282" t="s">
        <v>77</v>
      </c>
      <c r="D282" t="s">
        <v>50</v>
      </c>
      <c r="E282" t="s">
        <v>1000</v>
      </c>
      <c r="F282">
        <v>5</v>
      </c>
      <c r="G282">
        <v>344402.5</v>
      </c>
      <c r="H282" t="s">
        <v>528</v>
      </c>
      <c r="I282">
        <v>2025</v>
      </c>
      <c r="J282" t="str">
        <f>_xlfn.XLOOKUP(sales[[#This Row],[Product_ID]],products[Product_ID],products[Product_Name])</f>
        <v>Monitor 4</v>
      </c>
      <c r="K282" t="str">
        <f>_xlfn.XLOOKUP(sales[[#This Row],[Store_ID]],stores[Store_ID],stores[Store_Name])</f>
        <v>Guntur Store</v>
      </c>
      <c r="L282" t="str">
        <f>_xlfn.XLOOKUP(sales[[#This Row],[Customer_ID]],customers[Customer_ID],customers[Customer_Name])</f>
        <v>Priya_21</v>
      </c>
      <c r="M282" t="str">
        <f>IF(sales[[#This Row],[Total_Amount]]&gt;=50000,"High Sales","Low Sales")</f>
        <v>High Sales</v>
      </c>
      <c r="N282">
        <f>sales[[#This Row],[Total_Amount]]/sales[[#This Row],[Quantity]]</f>
        <v>68880.5</v>
      </c>
    </row>
    <row r="283" spans="1:14" x14ac:dyDescent="0.3">
      <c r="A283" t="s">
        <v>1001</v>
      </c>
      <c r="B283">
        <v>1157</v>
      </c>
      <c r="C283" t="s">
        <v>126</v>
      </c>
      <c r="D283" t="s">
        <v>48</v>
      </c>
      <c r="E283" t="s">
        <v>382</v>
      </c>
      <c r="F283">
        <v>2</v>
      </c>
      <c r="G283">
        <v>163236.42000000001</v>
      </c>
      <c r="H283" t="s">
        <v>534</v>
      </c>
      <c r="I283">
        <v>2025</v>
      </c>
      <c r="J283" t="str">
        <f>_xlfn.XLOOKUP(sales[[#This Row],[Product_ID]],products[Product_ID],products[Product_Name])</f>
        <v>Router 28</v>
      </c>
      <c r="K283" t="str">
        <f>_xlfn.XLOOKUP(sales[[#This Row],[Store_ID]],stores[Store_ID],stores[Store_Name])</f>
        <v>Visakhapatnam Store</v>
      </c>
      <c r="L283" t="str">
        <f>_xlfn.XLOOKUP(sales[[#This Row],[Customer_ID]],customers[Customer_ID],customers[Customer_Name])</f>
        <v>Nikhil_157</v>
      </c>
      <c r="M283" t="str">
        <f>IF(sales[[#This Row],[Total_Amount]]&gt;=50000,"High Sales","Low Sales")</f>
        <v>High Sales</v>
      </c>
      <c r="N283">
        <f>sales[[#This Row],[Total_Amount]]/sales[[#This Row],[Quantity]]</f>
        <v>81618.210000000006</v>
      </c>
    </row>
    <row r="284" spans="1:14" x14ac:dyDescent="0.3">
      <c r="A284" t="s">
        <v>1002</v>
      </c>
      <c r="B284">
        <v>1085</v>
      </c>
      <c r="C284" t="s">
        <v>106</v>
      </c>
      <c r="D284" t="s">
        <v>57</v>
      </c>
      <c r="E284" t="s">
        <v>1003</v>
      </c>
      <c r="F284">
        <v>3</v>
      </c>
      <c r="G284">
        <v>244272.27</v>
      </c>
      <c r="H284" t="s">
        <v>537</v>
      </c>
      <c r="I284">
        <v>2025</v>
      </c>
      <c r="J284" t="str">
        <f>_xlfn.XLOOKUP(sales[[#This Row],[Product_ID]],products[Product_ID],products[Product_Name])</f>
        <v>Microwave 18</v>
      </c>
      <c r="K284" t="str">
        <f>_xlfn.XLOOKUP(sales[[#This Row],[Store_ID]],stores[Store_ID],stores[Store_Name])</f>
        <v>Bengaluru Store</v>
      </c>
      <c r="L284" t="str">
        <f>_xlfn.XLOOKUP(sales[[#This Row],[Customer_ID]],customers[Customer_ID],customers[Customer_Name])</f>
        <v>Sneha_85</v>
      </c>
      <c r="M284" t="str">
        <f>IF(sales[[#This Row],[Total_Amount]]&gt;=50000,"High Sales","Low Sales")</f>
        <v>High Sales</v>
      </c>
      <c r="N284">
        <f>sales[[#This Row],[Total_Amount]]/sales[[#This Row],[Quantity]]</f>
        <v>81424.09</v>
      </c>
    </row>
    <row r="285" spans="1:14" x14ac:dyDescent="0.3">
      <c r="A285" t="s">
        <v>1004</v>
      </c>
      <c r="B285">
        <v>1060</v>
      </c>
      <c r="C285" t="s">
        <v>84</v>
      </c>
      <c r="D285" t="s">
        <v>59</v>
      </c>
      <c r="E285" t="s">
        <v>854</v>
      </c>
      <c r="F285">
        <v>4</v>
      </c>
      <c r="G285">
        <v>355896.12</v>
      </c>
      <c r="H285" t="s">
        <v>528</v>
      </c>
      <c r="I285">
        <v>2025</v>
      </c>
      <c r="J285" t="str">
        <f>_xlfn.XLOOKUP(sales[[#This Row],[Product_ID]],products[Product_ID],products[Product_Name])</f>
        <v>Headphones 7</v>
      </c>
      <c r="K285" t="str">
        <f>_xlfn.XLOOKUP(sales[[#This Row],[Store_ID]],stores[Store_ID],stores[Store_Name])</f>
        <v>Chennai Store</v>
      </c>
      <c r="L285" t="str">
        <f>_xlfn.XLOOKUP(sales[[#This Row],[Customer_ID]],customers[Customer_ID],customers[Customer_Name])</f>
        <v>Ravi_60</v>
      </c>
      <c r="M285" t="str">
        <f>IF(sales[[#This Row],[Total_Amount]]&gt;=50000,"High Sales","Low Sales")</f>
        <v>High Sales</v>
      </c>
      <c r="N285">
        <f>sales[[#This Row],[Total_Amount]]/sales[[#This Row],[Quantity]]</f>
        <v>88974.03</v>
      </c>
    </row>
    <row r="286" spans="1:14" x14ac:dyDescent="0.3">
      <c r="A286" t="s">
        <v>1005</v>
      </c>
      <c r="B286">
        <v>1123</v>
      </c>
      <c r="C286" t="s">
        <v>124</v>
      </c>
      <c r="D286" t="s">
        <v>48</v>
      </c>
      <c r="E286" t="s">
        <v>144</v>
      </c>
      <c r="F286">
        <v>1</v>
      </c>
      <c r="G286">
        <v>28578.71</v>
      </c>
      <c r="H286" t="s">
        <v>522</v>
      </c>
      <c r="I286">
        <v>2025</v>
      </c>
      <c r="J286" t="str">
        <f>_xlfn.XLOOKUP(sales[[#This Row],[Product_ID]],products[Product_ID],products[Product_Name])</f>
        <v>Mixer 27</v>
      </c>
      <c r="K286" t="str">
        <f>_xlfn.XLOOKUP(sales[[#This Row],[Store_ID]],stores[Store_ID],stores[Store_Name])</f>
        <v>Visakhapatnam Store</v>
      </c>
      <c r="L286" t="str">
        <f>_xlfn.XLOOKUP(sales[[#This Row],[Customer_ID]],customers[Customer_ID],customers[Customer_Name])</f>
        <v>Ramesh_123</v>
      </c>
      <c r="M286" t="str">
        <f>IF(sales[[#This Row],[Total_Amount]]&gt;=50000,"High Sales","Low Sales")</f>
        <v>Low Sales</v>
      </c>
      <c r="N286">
        <f>sales[[#This Row],[Total_Amount]]/sales[[#This Row],[Quantity]]</f>
        <v>28578.71</v>
      </c>
    </row>
    <row r="287" spans="1:14" x14ac:dyDescent="0.3">
      <c r="A287" t="s">
        <v>1006</v>
      </c>
      <c r="B287">
        <v>1043</v>
      </c>
      <c r="C287" t="s">
        <v>92</v>
      </c>
      <c r="D287" t="s">
        <v>46</v>
      </c>
      <c r="E287" t="s">
        <v>1007</v>
      </c>
      <c r="F287">
        <v>3</v>
      </c>
      <c r="G287">
        <v>137322.54</v>
      </c>
      <c r="H287" t="s">
        <v>575</v>
      </c>
      <c r="I287">
        <v>2025</v>
      </c>
      <c r="J287" t="str">
        <f>_xlfn.XLOOKUP(sales[[#This Row],[Product_ID]],products[Product_ID],products[Product_Name])</f>
        <v>Smartphone 11</v>
      </c>
      <c r="K287" t="str">
        <f>_xlfn.XLOOKUP(sales[[#This Row],[Store_ID]],stores[Store_ID],stores[Store_Name])</f>
        <v>Vijayawada Store</v>
      </c>
      <c r="L287" t="str">
        <f>_xlfn.XLOOKUP(sales[[#This Row],[Customer_ID]],customers[Customer_ID],customers[Customer_Name])</f>
        <v>Pooja_43</v>
      </c>
      <c r="M287" t="str">
        <f>IF(sales[[#This Row],[Total_Amount]]&gt;=50000,"High Sales","Low Sales")</f>
        <v>High Sales</v>
      </c>
      <c r="N287">
        <f>sales[[#This Row],[Total_Amount]]/sales[[#This Row],[Quantity]]</f>
        <v>45774.18</v>
      </c>
    </row>
    <row r="288" spans="1:14" x14ac:dyDescent="0.3">
      <c r="A288" t="s">
        <v>1008</v>
      </c>
      <c r="B288">
        <v>1184</v>
      </c>
      <c r="C288" t="s">
        <v>104</v>
      </c>
      <c r="D288" t="s">
        <v>42</v>
      </c>
      <c r="E288" t="s">
        <v>1009</v>
      </c>
      <c r="F288">
        <v>3</v>
      </c>
      <c r="G288">
        <v>73548.33</v>
      </c>
      <c r="H288" t="s">
        <v>575</v>
      </c>
      <c r="I288">
        <v>2025</v>
      </c>
      <c r="J288" t="str">
        <f>_xlfn.XLOOKUP(sales[[#This Row],[Product_ID]],products[Product_ID],products[Product_Name])</f>
        <v>Mixer 17</v>
      </c>
      <c r="K288" t="str">
        <f>_xlfn.XLOOKUP(sales[[#This Row],[Store_ID]],stores[Store_ID],stores[Store_Name])</f>
        <v>Hyderabad Store</v>
      </c>
      <c r="L288" t="str">
        <f>_xlfn.XLOOKUP(sales[[#This Row],[Customer_ID]],customers[Customer_ID],customers[Customer_Name])</f>
        <v>Keerthi_184</v>
      </c>
      <c r="M288" t="str">
        <f>IF(sales[[#This Row],[Total_Amount]]&gt;=50000,"High Sales","Low Sales")</f>
        <v>High Sales</v>
      </c>
      <c r="N288">
        <f>sales[[#This Row],[Total_Amount]]/sales[[#This Row],[Quantity]]</f>
        <v>24516.11</v>
      </c>
    </row>
    <row r="289" spans="1:14" x14ac:dyDescent="0.3">
      <c r="A289" t="s">
        <v>1010</v>
      </c>
      <c r="B289">
        <v>1157</v>
      </c>
      <c r="C289" t="s">
        <v>106</v>
      </c>
      <c r="D289" t="s">
        <v>46</v>
      </c>
      <c r="E289" t="s">
        <v>1011</v>
      </c>
      <c r="F289">
        <v>5</v>
      </c>
      <c r="G289">
        <v>590400.1</v>
      </c>
      <c r="H289" t="s">
        <v>528</v>
      </c>
      <c r="I289">
        <v>2025</v>
      </c>
      <c r="J289" t="str">
        <f>_xlfn.XLOOKUP(sales[[#This Row],[Product_ID]],products[Product_ID],products[Product_Name])</f>
        <v>Microwave 18</v>
      </c>
      <c r="K289" t="str">
        <f>_xlfn.XLOOKUP(sales[[#This Row],[Store_ID]],stores[Store_ID],stores[Store_Name])</f>
        <v>Vijayawada Store</v>
      </c>
      <c r="L289" t="str">
        <f>_xlfn.XLOOKUP(sales[[#This Row],[Customer_ID]],customers[Customer_ID],customers[Customer_Name])</f>
        <v>Nikhil_157</v>
      </c>
      <c r="M289" t="str">
        <f>IF(sales[[#This Row],[Total_Amount]]&gt;=50000,"High Sales","Low Sales")</f>
        <v>High Sales</v>
      </c>
      <c r="N289">
        <f>sales[[#This Row],[Total_Amount]]/sales[[#This Row],[Quantity]]</f>
        <v>118080.01999999999</v>
      </c>
    </row>
    <row r="290" spans="1:14" x14ac:dyDescent="0.3">
      <c r="A290" t="s">
        <v>1012</v>
      </c>
      <c r="B290">
        <v>1183</v>
      </c>
      <c r="C290" t="s">
        <v>98</v>
      </c>
      <c r="D290" t="s">
        <v>59</v>
      </c>
      <c r="E290" t="s">
        <v>334</v>
      </c>
      <c r="F290">
        <v>4</v>
      </c>
      <c r="G290">
        <v>304642.76</v>
      </c>
      <c r="H290" t="s">
        <v>531</v>
      </c>
      <c r="I290">
        <v>2025</v>
      </c>
      <c r="J290" t="str">
        <f>_xlfn.XLOOKUP(sales[[#This Row],[Product_ID]],products[Product_ID],products[Product_Name])</f>
        <v>Camera 14</v>
      </c>
      <c r="K290" t="str">
        <f>_xlfn.XLOOKUP(sales[[#This Row],[Store_ID]],stores[Store_ID],stores[Store_Name])</f>
        <v>Chennai Store</v>
      </c>
      <c r="L290" t="str">
        <f>_xlfn.XLOOKUP(sales[[#This Row],[Customer_ID]],customers[Customer_ID],customers[Customer_Name])</f>
        <v>Sita_183</v>
      </c>
      <c r="M290" t="str">
        <f>IF(sales[[#This Row],[Total_Amount]]&gt;=50000,"High Sales","Low Sales")</f>
        <v>High Sales</v>
      </c>
      <c r="N290">
        <f>sales[[#This Row],[Total_Amount]]/sales[[#This Row],[Quantity]]</f>
        <v>76160.69</v>
      </c>
    </row>
    <row r="291" spans="1:14" x14ac:dyDescent="0.3">
      <c r="A291" t="s">
        <v>1013</v>
      </c>
      <c r="B291">
        <v>1174</v>
      </c>
      <c r="C291" t="s">
        <v>90</v>
      </c>
      <c r="D291" t="s">
        <v>62</v>
      </c>
      <c r="E291" t="s">
        <v>1014</v>
      </c>
      <c r="F291">
        <v>5</v>
      </c>
      <c r="G291">
        <v>290237.40000000002</v>
      </c>
      <c r="H291" t="s">
        <v>558</v>
      </c>
      <c r="I291">
        <v>2026</v>
      </c>
      <c r="J291" t="str">
        <f>_xlfn.XLOOKUP(sales[[#This Row],[Product_ID]],products[Product_ID],products[Product_Name])</f>
        <v>Camera 10</v>
      </c>
      <c r="K291" t="str">
        <f>_xlfn.XLOOKUP(sales[[#This Row],[Store_ID]],stores[Store_ID],stores[Store_Name])</f>
        <v>Pune Store</v>
      </c>
      <c r="L291" t="str">
        <f>_xlfn.XLOOKUP(sales[[#This Row],[Customer_ID]],customers[Customer_ID],customers[Customer_Name])</f>
        <v>Keerthi_174</v>
      </c>
      <c r="M291" t="str">
        <f>IF(sales[[#This Row],[Total_Amount]]&gt;=50000,"High Sales","Low Sales")</f>
        <v>High Sales</v>
      </c>
      <c r="N291">
        <f>sales[[#This Row],[Total_Amount]]/sales[[#This Row],[Quantity]]</f>
        <v>58047.48</v>
      </c>
    </row>
    <row r="292" spans="1:14" x14ac:dyDescent="0.3">
      <c r="A292" t="s">
        <v>1015</v>
      </c>
      <c r="B292">
        <v>1031</v>
      </c>
      <c r="C292" t="s">
        <v>81</v>
      </c>
      <c r="D292" t="s">
        <v>42</v>
      </c>
      <c r="E292" t="s">
        <v>615</v>
      </c>
      <c r="F292">
        <v>3</v>
      </c>
      <c r="G292">
        <v>103311.3</v>
      </c>
      <c r="H292" t="s">
        <v>534</v>
      </c>
      <c r="I292">
        <v>2025</v>
      </c>
      <c r="J292" t="str">
        <f>_xlfn.XLOOKUP(sales[[#This Row],[Product_ID]],products[Product_ID],products[Product_Name])</f>
        <v>Camera 6</v>
      </c>
      <c r="K292" t="str">
        <f>_xlfn.XLOOKUP(sales[[#This Row],[Store_ID]],stores[Store_ID],stores[Store_Name])</f>
        <v>Hyderabad Store</v>
      </c>
      <c r="L292" t="str">
        <f>_xlfn.XLOOKUP(sales[[#This Row],[Customer_ID]],customers[Customer_ID],customers[Customer_Name])</f>
        <v>Akhil_31</v>
      </c>
      <c r="M292" t="str">
        <f>IF(sales[[#This Row],[Total_Amount]]&gt;=50000,"High Sales","Low Sales")</f>
        <v>High Sales</v>
      </c>
      <c r="N292">
        <f>sales[[#This Row],[Total_Amount]]/sales[[#This Row],[Quantity]]</f>
        <v>34437.1</v>
      </c>
    </row>
    <row r="293" spans="1:14" x14ac:dyDescent="0.3">
      <c r="A293" t="s">
        <v>1016</v>
      </c>
      <c r="B293">
        <v>1105</v>
      </c>
      <c r="C293" t="s">
        <v>122</v>
      </c>
      <c r="D293" t="s">
        <v>57</v>
      </c>
      <c r="E293" t="s">
        <v>1017</v>
      </c>
      <c r="F293">
        <v>4</v>
      </c>
      <c r="G293">
        <v>424534.24</v>
      </c>
      <c r="H293" t="s">
        <v>534</v>
      </c>
      <c r="I293">
        <v>2025</v>
      </c>
      <c r="J293" t="str">
        <f>_xlfn.XLOOKUP(sales[[#This Row],[Product_ID]],products[Product_ID],products[Product_Name])</f>
        <v>Router 26</v>
      </c>
      <c r="K293" t="str">
        <f>_xlfn.XLOOKUP(sales[[#This Row],[Store_ID]],stores[Store_ID],stores[Store_Name])</f>
        <v>Bengaluru Store</v>
      </c>
      <c r="L293" t="str">
        <f>_xlfn.XLOOKUP(sales[[#This Row],[Customer_ID]],customers[Customer_ID],customers[Customer_Name])</f>
        <v>Divya_105</v>
      </c>
      <c r="M293" t="str">
        <f>IF(sales[[#This Row],[Total_Amount]]&gt;=50000,"High Sales","Low Sales")</f>
        <v>High Sales</v>
      </c>
      <c r="N293">
        <f>sales[[#This Row],[Total_Amount]]/sales[[#This Row],[Quantity]]</f>
        <v>106133.56</v>
      </c>
    </row>
    <row r="294" spans="1:14" x14ac:dyDescent="0.3">
      <c r="A294" t="s">
        <v>1018</v>
      </c>
      <c r="B294">
        <v>1095</v>
      </c>
      <c r="C294" t="s">
        <v>118</v>
      </c>
      <c r="D294" t="s">
        <v>48</v>
      </c>
      <c r="E294" t="s">
        <v>1019</v>
      </c>
      <c r="F294">
        <v>4</v>
      </c>
      <c r="G294">
        <v>404435.92</v>
      </c>
      <c r="H294" t="s">
        <v>537</v>
      </c>
      <c r="I294">
        <v>2026</v>
      </c>
      <c r="J294" t="str">
        <f>_xlfn.XLOOKUP(sales[[#This Row],[Product_ID]],products[Product_ID],products[Product_Name])</f>
        <v>Tablet 24</v>
      </c>
      <c r="K294" t="str">
        <f>_xlfn.XLOOKUP(sales[[#This Row],[Store_ID]],stores[Store_ID],stores[Store_Name])</f>
        <v>Visakhapatnam Store</v>
      </c>
      <c r="L294" t="str">
        <f>_xlfn.XLOOKUP(sales[[#This Row],[Customer_ID]],customers[Customer_ID],customers[Customer_Name])</f>
        <v>Divya_95</v>
      </c>
      <c r="M294" t="str">
        <f>IF(sales[[#This Row],[Total_Amount]]&gt;=50000,"High Sales","Low Sales")</f>
        <v>High Sales</v>
      </c>
      <c r="N294">
        <f>sales[[#This Row],[Total_Amount]]/sales[[#This Row],[Quantity]]</f>
        <v>101108.98</v>
      </c>
    </row>
    <row r="295" spans="1:14" x14ac:dyDescent="0.3">
      <c r="A295" t="s">
        <v>1020</v>
      </c>
      <c r="B295">
        <v>1164</v>
      </c>
      <c r="C295" t="s">
        <v>79</v>
      </c>
      <c r="D295" t="s">
        <v>53</v>
      </c>
      <c r="E295" t="s">
        <v>216</v>
      </c>
      <c r="F295">
        <v>1</v>
      </c>
      <c r="G295">
        <v>27029.09</v>
      </c>
      <c r="H295" t="s">
        <v>575</v>
      </c>
      <c r="I295">
        <v>2025</v>
      </c>
      <c r="J295" t="str">
        <f>_xlfn.XLOOKUP(sales[[#This Row],[Product_ID]],products[Product_ID],products[Product_Name])</f>
        <v>Smartphone 5</v>
      </c>
      <c r="K295" t="str">
        <f>_xlfn.XLOOKUP(sales[[#This Row],[Store_ID]],stores[Store_ID],stores[Store_Name])</f>
        <v>Warangal Store</v>
      </c>
      <c r="L295" t="str">
        <f>_xlfn.XLOOKUP(sales[[#This Row],[Customer_ID]],customers[Customer_ID],customers[Customer_Name])</f>
        <v>Anjali_164</v>
      </c>
      <c r="M295" t="str">
        <f>IF(sales[[#This Row],[Total_Amount]]&gt;=50000,"High Sales","Low Sales")</f>
        <v>Low Sales</v>
      </c>
      <c r="N295">
        <f>sales[[#This Row],[Total_Amount]]/sales[[#This Row],[Quantity]]</f>
        <v>27029.09</v>
      </c>
    </row>
    <row r="296" spans="1:14" x14ac:dyDescent="0.3">
      <c r="A296" t="s">
        <v>1021</v>
      </c>
      <c r="B296">
        <v>1115</v>
      </c>
      <c r="C296" t="s">
        <v>106</v>
      </c>
      <c r="D296" t="s">
        <v>42</v>
      </c>
      <c r="E296" t="s">
        <v>1022</v>
      </c>
      <c r="F296">
        <v>3</v>
      </c>
      <c r="G296">
        <v>167884.53</v>
      </c>
      <c r="H296" t="s">
        <v>572</v>
      </c>
      <c r="I296">
        <v>2025</v>
      </c>
      <c r="J296" t="str">
        <f>_xlfn.XLOOKUP(sales[[#This Row],[Product_ID]],products[Product_ID],products[Product_Name])</f>
        <v>Microwave 18</v>
      </c>
      <c r="K296" t="str">
        <f>_xlfn.XLOOKUP(sales[[#This Row],[Store_ID]],stores[Store_ID],stores[Store_Name])</f>
        <v>Hyderabad Store</v>
      </c>
      <c r="L296" t="str">
        <f>_xlfn.XLOOKUP(sales[[#This Row],[Customer_ID]],customers[Customer_ID],customers[Customer_Name])</f>
        <v>Arjun_115</v>
      </c>
      <c r="M296" t="str">
        <f>IF(sales[[#This Row],[Total_Amount]]&gt;=50000,"High Sales","Low Sales")</f>
        <v>High Sales</v>
      </c>
      <c r="N296">
        <f>sales[[#This Row],[Total_Amount]]/sales[[#This Row],[Quantity]]</f>
        <v>55961.51</v>
      </c>
    </row>
    <row r="297" spans="1:14" x14ac:dyDescent="0.3">
      <c r="A297" t="s">
        <v>1023</v>
      </c>
      <c r="B297">
        <v>1128</v>
      </c>
      <c r="C297" t="s">
        <v>94</v>
      </c>
      <c r="D297" t="s">
        <v>46</v>
      </c>
      <c r="E297" t="s">
        <v>1024</v>
      </c>
      <c r="F297">
        <v>2</v>
      </c>
      <c r="G297">
        <v>223543.66</v>
      </c>
      <c r="H297" t="s">
        <v>528</v>
      </c>
      <c r="I297">
        <v>2025</v>
      </c>
      <c r="J297" t="str">
        <f>_xlfn.XLOOKUP(sales[[#This Row],[Product_ID]],products[Product_ID],products[Product_Name])</f>
        <v>Mouse 12</v>
      </c>
      <c r="K297" t="str">
        <f>_xlfn.XLOOKUP(sales[[#This Row],[Store_ID]],stores[Store_ID],stores[Store_Name])</f>
        <v>Vijayawada Store</v>
      </c>
      <c r="L297" t="str">
        <f>_xlfn.XLOOKUP(sales[[#This Row],[Customer_ID]],customers[Customer_ID],customers[Customer_Name])</f>
        <v>Keerthi_128</v>
      </c>
      <c r="M297" t="str">
        <f>IF(sales[[#This Row],[Total_Amount]]&gt;=50000,"High Sales","Low Sales")</f>
        <v>High Sales</v>
      </c>
      <c r="N297">
        <f>sales[[#This Row],[Total_Amount]]/sales[[#This Row],[Quantity]]</f>
        <v>111771.83</v>
      </c>
    </row>
    <row r="298" spans="1:14" x14ac:dyDescent="0.3">
      <c r="A298" t="s">
        <v>1025</v>
      </c>
      <c r="B298">
        <v>1144</v>
      </c>
      <c r="C298" t="s">
        <v>88</v>
      </c>
      <c r="D298" t="s">
        <v>62</v>
      </c>
      <c r="E298" t="s">
        <v>176</v>
      </c>
      <c r="F298">
        <v>5</v>
      </c>
      <c r="G298">
        <v>189355.1</v>
      </c>
      <c r="H298" t="s">
        <v>540</v>
      </c>
      <c r="I298">
        <v>2025</v>
      </c>
      <c r="J298" t="str">
        <f>_xlfn.XLOOKUP(sales[[#This Row],[Product_ID]],products[Product_ID],products[Product_Name])</f>
        <v>Headphones 9</v>
      </c>
      <c r="K298" t="str">
        <f>_xlfn.XLOOKUP(sales[[#This Row],[Store_ID]],stores[Store_ID],stores[Store_Name])</f>
        <v>Pune Store</v>
      </c>
      <c r="L298" t="str">
        <f>_xlfn.XLOOKUP(sales[[#This Row],[Customer_ID]],customers[Customer_ID],customers[Customer_Name])</f>
        <v>Ramesh_144</v>
      </c>
      <c r="M298" t="str">
        <f>IF(sales[[#This Row],[Total_Amount]]&gt;=50000,"High Sales","Low Sales")</f>
        <v>High Sales</v>
      </c>
      <c r="N298">
        <f>sales[[#This Row],[Total_Amount]]/sales[[#This Row],[Quantity]]</f>
        <v>37871.020000000004</v>
      </c>
    </row>
    <row r="299" spans="1:14" x14ac:dyDescent="0.3">
      <c r="A299" t="s">
        <v>1026</v>
      </c>
      <c r="B299">
        <v>1016</v>
      </c>
      <c r="C299" t="s">
        <v>102</v>
      </c>
      <c r="D299" t="s">
        <v>46</v>
      </c>
      <c r="E299" t="s">
        <v>1027</v>
      </c>
      <c r="F299">
        <v>1</v>
      </c>
      <c r="G299">
        <v>66136.850000000006</v>
      </c>
      <c r="H299" t="s">
        <v>522</v>
      </c>
      <c r="I299">
        <v>2025</v>
      </c>
      <c r="J299" t="str">
        <f>_xlfn.XLOOKUP(sales[[#This Row],[Product_ID]],products[Product_ID],products[Product_Name])</f>
        <v>Power Bank 16</v>
      </c>
      <c r="K299" t="str">
        <f>_xlfn.XLOOKUP(sales[[#This Row],[Store_ID]],stores[Store_ID],stores[Store_Name])</f>
        <v>Vijayawada Store</v>
      </c>
      <c r="L299" t="str">
        <f>_xlfn.XLOOKUP(sales[[#This Row],[Customer_ID]],customers[Customer_ID],customers[Customer_Name])</f>
        <v>Sneha_16</v>
      </c>
      <c r="M299" t="str">
        <f>IF(sales[[#This Row],[Total_Amount]]&gt;=50000,"High Sales","Low Sales")</f>
        <v>High Sales</v>
      </c>
      <c r="N299">
        <f>sales[[#This Row],[Total_Amount]]/sales[[#This Row],[Quantity]]</f>
        <v>66136.850000000006</v>
      </c>
    </row>
    <row r="300" spans="1:14" x14ac:dyDescent="0.3">
      <c r="A300" t="s">
        <v>1028</v>
      </c>
      <c r="B300">
        <v>1111</v>
      </c>
      <c r="C300" t="s">
        <v>128</v>
      </c>
      <c r="D300" t="s">
        <v>42</v>
      </c>
      <c r="E300" t="s">
        <v>321</v>
      </c>
      <c r="F300">
        <v>4</v>
      </c>
      <c r="G300">
        <v>441389.2</v>
      </c>
      <c r="H300" t="s">
        <v>572</v>
      </c>
      <c r="I300">
        <v>2025</v>
      </c>
      <c r="J300" t="str">
        <f>_xlfn.XLOOKUP(sales[[#This Row],[Product_ID]],products[Product_ID],products[Product_Name])</f>
        <v>Printer 29</v>
      </c>
      <c r="K300" t="str">
        <f>_xlfn.XLOOKUP(sales[[#This Row],[Store_ID]],stores[Store_ID],stores[Store_Name])</f>
        <v>Hyderabad Store</v>
      </c>
      <c r="L300" t="str">
        <f>_xlfn.XLOOKUP(sales[[#This Row],[Customer_ID]],customers[Customer_ID],customers[Customer_Name])</f>
        <v>Ravi_111</v>
      </c>
      <c r="M300" t="str">
        <f>IF(sales[[#This Row],[Total_Amount]]&gt;=50000,"High Sales","Low Sales")</f>
        <v>High Sales</v>
      </c>
      <c r="N300">
        <f>sales[[#This Row],[Total_Amount]]/sales[[#This Row],[Quantity]]</f>
        <v>110347.3</v>
      </c>
    </row>
    <row r="301" spans="1:14" x14ac:dyDescent="0.3">
      <c r="A301" t="s">
        <v>1029</v>
      </c>
      <c r="B301">
        <v>1009</v>
      </c>
      <c r="C301" t="s">
        <v>79</v>
      </c>
      <c r="D301" t="s">
        <v>48</v>
      </c>
      <c r="E301" t="s">
        <v>435</v>
      </c>
      <c r="F301">
        <v>4</v>
      </c>
      <c r="G301">
        <v>363131.4</v>
      </c>
      <c r="H301" t="s">
        <v>525</v>
      </c>
      <c r="I301">
        <v>2025</v>
      </c>
      <c r="J301" t="str">
        <f>_xlfn.XLOOKUP(sales[[#This Row],[Product_ID]],products[Product_ID],products[Product_Name])</f>
        <v>Smartphone 5</v>
      </c>
      <c r="K301" t="str">
        <f>_xlfn.XLOOKUP(sales[[#This Row],[Store_ID]],stores[Store_ID],stores[Store_Name])</f>
        <v>Visakhapatnam Store</v>
      </c>
      <c r="L301" t="str">
        <f>_xlfn.XLOOKUP(sales[[#This Row],[Customer_ID]],customers[Customer_ID],customers[Customer_Name])</f>
        <v>Akhil_9</v>
      </c>
      <c r="M301" t="str">
        <f>IF(sales[[#This Row],[Total_Amount]]&gt;=50000,"High Sales","Low Sales")</f>
        <v>High Sales</v>
      </c>
      <c r="N301">
        <f>sales[[#This Row],[Total_Amount]]/sales[[#This Row],[Quantity]]</f>
        <v>90782.85</v>
      </c>
    </row>
    <row r="302" spans="1:14" x14ac:dyDescent="0.3">
      <c r="A302" t="s">
        <v>1030</v>
      </c>
      <c r="B302">
        <v>1186</v>
      </c>
      <c r="C302" t="s">
        <v>124</v>
      </c>
      <c r="D302" t="s">
        <v>57</v>
      </c>
      <c r="E302" t="s">
        <v>1031</v>
      </c>
      <c r="F302">
        <v>5</v>
      </c>
      <c r="G302">
        <v>419394</v>
      </c>
      <c r="H302" t="s">
        <v>558</v>
      </c>
      <c r="I302">
        <v>2025</v>
      </c>
      <c r="J302" t="str">
        <f>_xlfn.XLOOKUP(sales[[#This Row],[Product_ID]],products[Product_ID],products[Product_Name])</f>
        <v>Mixer 27</v>
      </c>
      <c r="K302" t="str">
        <f>_xlfn.XLOOKUP(sales[[#This Row],[Store_ID]],stores[Store_ID],stores[Store_Name])</f>
        <v>Bengaluru Store</v>
      </c>
      <c r="L302" t="str">
        <f>_xlfn.XLOOKUP(sales[[#This Row],[Customer_ID]],customers[Customer_ID],customers[Customer_Name])</f>
        <v>Keerthi_186</v>
      </c>
      <c r="M302" t="str">
        <f>IF(sales[[#This Row],[Total_Amount]]&gt;=50000,"High Sales","Low Sales")</f>
        <v>High Sales</v>
      </c>
      <c r="N302">
        <f>sales[[#This Row],[Total_Amount]]/sales[[#This Row],[Quantity]]</f>
        <v>83878.8</v>
      </c>
    </row>
    <row r="303" spans="1:14" x14ac:dyDescent="0.3">
      <c r="A303" t="s">
        <v>1032</v>
      </c>
      <c r="B303">
        <v>1059</v>
      </c>
      <c r="C303" t="s">
        <v>69</v>
      </c>
      <c r="D303" t="s">
        <v>53</v>
      </c>
      <c r="E303" t="s">
        <v>831</v>
      </c>
      <c r="F303">
        <v>4</v>
      </c>
      <c r="G303">
        <v>432899.52</v>
      </c>
      <c r="H303" t="s">
        <v>525</v>
      </c>
      <c r="I303">
        <v>2026</v>
      </c>
      <c r="J303" t="str">
        <f>_xlfn.XLOOKUP(sales[[#This Row],[Product_ID]],products[Product_ID],products[Product_Name])</f>
        <v>Headphones 1</v>
      </c>
      <c r="K303" t="str">
        <f>_xlfn.XLOOKUP(sales[[#This Row],[Store_ID]],stores[Store_ID],stores[Store_Name])</f>
        <v>Warangal Store</v>
      </c>
      <c r="L303" t="str">
        <f>_xlfn.XLOOKUP(sales[[#This Row],[Customer_ID]],customers[Customer_ID],customers[Customer_Name])</f>
        <v>Ravi_59</v>
      </c>
      <c r="M303" t="str">
        <f>IF(sales[[#This Row],[Total_Amount]]&gt;=50000,"High Sales","Low Sales")</f>
        <v>High Sales</v>
      </c>
      <c r="N303">
        <f>sales[[#This Row],[Total_Amount]]/sales[[#This Row],[Quantity]]</f>
        <v>108224.88</v>
      </c>
    </row>
    <row r="304" spans="1:14" x14ac:dyDescent="0.3">
      <c r="A304" t="s">
        <v>1033</v>
      </c>
      <c r="B304">
        <v>1161</v>
      </c>
      <c r="C304" t="s">
        <v>126</v>
      </c>
      <c r="D304" t="s">
        <v>48</v>
      </c>
      <c r="E304" t="s">
        <v>648</v>
      </c>
      <c r="F304">
        <v>1</v>
      </c>
      <c r="G304">
        <v>68047.429999999993</v>
      </c>
      <c r="H304" t="s">
        <v>545</v>
      </c>
      <c r="I304">
        <v>2026</v>
      </c>
      <c r="J304" t="str">
        <f>_xlfn.XLOOKUP(sales[[#This Row],[Product_ID]],products[Product_ID],products[Product_Name])</f>
        <v>Router 28</v>
      </c>
      <c r="K304" t="str">
        <f>_xlfn.XLOOKUP(sales[[#This Row],[Store_ID]],stores[Store_ID],stores[Store_Name])</f>
        <v>Visakhapatnam Store</v>
      </c>
      <c r="L304" t="str">
        <f>_xlfn.XLOOKUP(sales[[#This Row],[Customer_ID]],customers[Customer_ID],customers[Customer_Name])</f>
        <v>Arjun_161</v>
      </c>
      <c r="M304" t="str">
        <f>IF(sales[[#This Row],[Total_Amount]]&gt;=50000,"High Sales","Low Sales")</f>
        <v>High Sales</v>
      </c>
      <c r="N304">
        <f>sales[[#This Row],[Total_Amount]]/sales[[#This Row],[Quantity]]</f>
        <v>68047.429999999993</v>
      </c>
    </row>
    <row r="305" spans="1:14" x14ac:dyDescent="0.3">
      <c r="A305" t="s">
        <v>1034</v>
      </c>
      <c r="B305">
        <v>1019</v>
      </c>
      <c r="C305" t="s">
        <v>69</v>
      </c>
      <c r="D305" t="s">
        <v>46</v>
      </c>
      <c r="E305" t="s">
        <v>1035</v>
      </c>
      <c r="F305">
        <v>3</v>
      </c>
      <c r="G305">
        <v>28693.5</v>
      </c>
      <c r="H305" t="s">
        <v>528</v>
      </c>
      <c r="I305">
        <v>2025</v>
      </c>
      <c r="J305" t="str">
        <f>_xlfn.XLOOKUP(sales[[#This Row],[Product_ID]],products[Product_ID],products[Product_Name])</f>
        <v>Headphones 1</v>
      </c>
      <c r="K305" t="str">
        <f>_xlfn.XLOOKUP(sales[[#This Row],[Store_ID]],stores[Store_ID],stores[Store_Name])</f>
        <v>Vijayawada Store</v>
      </c>
      <c r="L305" t="str">
        <f>_xlfn.XLOOKUP(sales[[#This Row],[Customer_ID]],customers[Customer_ID],customers[Customer_Name])</f>
        <v>Ravi_19</v>
      </c>
      <c r="M305" t="str">
        <f>IF(sales[[#This Row],[Total_Amount]]&gt;=50000,"High Sales","Low Sales")</f>
        <v>Low Sales</v>
      </c>
      <c r="N305">
        <f>sales[[#This Row],[Total_Amount]]/sales[[#This Row],[Quantity]]</f>
        <v>9564.5</v>
      </c>
    </row>
    <row r="306" spans="1:14" x14ac:dyDescent="0.3">
      <c r="A306" t="s">
        <v>1036</v>
      </c>
      <c r="B306">
        <v>1115</v>
      </c>
      <c r="C306" t="s">
        <v>75</v>
      </c>
      <c r="D306" t="s">
        <v>53</v>
      </c>
      <c r="E306" t="s">
        <v>460</v>
      </c>
      <c r="F306">
        <v>1</v>
      </c>
      <c r="G306">
        <v>112804.18</v>
      </c>
      <c r="H306" t="s">
        <v>558</v>
      </c>
      <c r="I306">
        <v>2025</v>
      </c>
      <c r="J306" t="str">
        <f>_xlfn.XLOOKUP(sales[[#This Row],[Product_ID]],products[Product_ID],products[Product_Name])</f>
        <v>Smart Watch 3</v>
      </c>
      <c r="K306" t="str">
        <f>_xlfn.XLOOKUP(sales[[#This Row],[Store_ID]],stores[Store_ID],stores[Store_Name])</f>
        <v>Warangal Store</v>
      </c>
      <c r="L306" t="str">
        <f>_xlfn.XLOOKUP(sales[[#This Row],[Customer_ID]],customers[Customer_ID],customers[Customer_Name])</f>
        <v>Arjun_115</v>
      </c>
      <c r="M306" t="str">
        <f>IF(sales[[#This Row],[Total_Amount]]&gt;=50000,"High Sales","Low Sales")</f>
        <v>High Sales</v>
      </c>
      <c r="N306">
        <f>sales[[#This Row],[Total_Amount]]/sales[[#This Row],[Quantity]]</f>
        <v>112804.18</v>
      </c>
    </row>
    <row r="307" spans="1:14" x14ac:dyDescent="0.3">
      <c r="A307" t="s">
        <v>1037</v>
      </c>
      <c r="B307">
        <v>1164</v>
      </c>
      <c r="C307" t="s">
        <v>126</v>
      </c>
      <c r="D307" t="s">
        <v>48</v>
      </c>
      <c r="E307" t="s">
        <v>907</v>
      </c>
      <c r="F307">
        <v>5</v>
      </c>
      <c r="G307">
        <v>186841</v>
      </c>
      <c r="H307" t="s">
        <v>558</v>
      </c>
      <c r="I307">
        <v>2026</v>
      </c>
      <c r="J307" t="str">
        <f>_xlfn.XLOOKUP(sales[[#This Row],[Product_ID]],products[Product_ID],products[Product_Name])</f>
        <v>Router 28</v>
      </c>
      <c r="K307" t="str">
        <f>_xlfn.XLOOKUP(sales[[#This Row],[Store_ID]],stores[Store_ID],stores[Store_Name])</f>
        <v>Visakhapatnam Store</v>
      </c>
      <c r="L307" t="str">
        <f>_xlfn.XLOOKUP(sales[[#This Row],[Customer_ID]],customers[Customer_ID],customers[Customer_Name])</f>
        <v>Anjali_164</v>
      </c>
      <c r="M307" t="str">
        <f>IF(sales[[#This Row],[Total_Amount]]&gt;=50000,"High Sales","Low Sales")</f>
        <v>High Sales</v>
      </c>
      <c r="N307">
        <f>sales[[#This Row],[Total_Amount]]/sales[[#This Row],[Quantity]]</f>
        <v>37368.199999999997</v>
      </c>
    </row>
    <row r="308" spans="1:14" x14ac:dyDescent="0.3">
      <c r="A308" t="s">
        <v>1038</v>
      </c>
      <c r="B308">
        <v>1122</v>
      </c>
      <c r="C308" t="s">
        <v>81</v>
      </c>
      <c r="D308" t="s">
        <v>46</v>
      </c>
      <c r="E308" t="s">
        <v>666</v>
      </c>
      <c r="F308">
        <v>4</v>
      </c>
      <c r="G308">
        <v>218149.16</v>
      </c>
      <c r="H308" t="s">
        <v>531</v>
      </c>
      <c r="I308">
        <v>2026</v>
      </c>
      <c r="J308" t="str">
        <f>_xlfn.XLOOKUP(sales[[#This Row],[Product_ID]],products[Product_ID],products[Product_Name])</f>
        <v>Camera 6</v>
      </c>
      <c r="K308" t="str">
        <f>_xlfn.XLOOKUP(sales[[#This Row],[Store_ID]],stores[Store_ID],stores[Store_Name])</f>
        <v>Vijayawada Store</v>
      </c>
      <c r="L308" t="str">
        <f>_xlfn.XLOOKUP(sales[[#This Row],[Customer_ID]],customers[Customer_ID],customers[Customer_Name])</f>
        <v>Rahul_122</v>
      </c>
      <c r="M308" t="str">
        <f>IF(sales[[#This Row],[Total_Amount]]&gt;=50000,"High Sales","Low Sales")</f>
        <v>High Sales</v>
      </c>
      <c r="N308">
        <f>sales[[#This Row],[Total_Amount]]/sales[[#This Row],[Quantity]]</f>
        <v>54537.29</v>
      </c>
    </row>
    <row r="309" spans="1:14" x14ac:dyDescent="0.3">
      <c r="A309" t="s">
        <v>1039</v>
      </c>
      <c r="B309">
        <v>1172</v>
      </c>
      <c r="C309" t="s">
        <v>94</v>
      </c>
      <c r="D309" t="s">
        <v>53</v>
      </c>
      <c r="E309" t="s">
        <v>1019</v>
      </c>
      <c r="F309">
        <v>4</v>
      </c>
      <c r="G309">
        <v>59597.68</v>
      </c>
      <c r="H309" t="s">
        <v>537</v>
      </c>
      <c r="I309">
        <v>2026</v>
      </c>
      <c r="J309" t="str">
        <f>_xlfn.XLOOKUP(sales[[#This Row],[Product_ID]],products[Product_ID],products[Product_Name])</f>
        <v>Mouse 12</v>
      </c>
      <c r="K309" t="str">
        <f>_xlfn.XLOOKUP(sales[[#This Row],[Store_ID]],stores[Store_ID],stores[Store_Name])</f>
        <v>Warangal Store</v>
      </c>
      <c r="L309" t="str">
        <f>_xlfn.XLOOKUP(sales[[#This Row],[Customer_ID]],customers[Customer_ID],customers[Customer_Name])</f>
        <v>Priya_172</v>
      </c>
      <c r="M309" t="str">
        <f>IF(sales[[#This Row],[Total_Amount]]&gt;=50000,"High Sales","Low Sales")</f>
        <v>High Sales</v>
      </c>
      <c r="N309">
        <f>sales[[#This Row],[Total_Amount]]/sales[[#This Row],[Quantity]]</f>
        <v>14899.42</v>
      </c>
    </row>
    <row r="310" spans="1:14" x14ac:dyDescent="0.3">
      <c r="A310" t="s">
        <v>1040</v>
      </c>
      <c r="B310">
        <v>1015</v>
      </c>
      <c r="C310" t="s">
        <v>98</v>
      </c>
      <c r="D310" t="s">
        <v>59</v>
      </c>
      <c r="E310" t="s">
        <v>574</v>
      </c>
      <c r="F310">
        <v>1</v>
      </c>
      <c r="G310">
        <v>8044.74</v>
      </c>
      <c r="H310" t="s">
        <v>575</v>
      </c>
      <c r="I310">
        <v>2026</v>
      </c>
      <c r="J310" t="str">
        <f>_xlfn.XLOOKUP(sales[[#This Row],[Product_ID]],products[Product_ID],products[Product_Name])</f>
        <v>Camera 14</v>
      </c>
      <c r="K310" t="str">
        <f>_xlfn.XLOOKUP(sales[[#This Row],[Store_ID]],stores[Store_ID],stores[Store_Name])</f>
        <v>Chennai Store</v>
      </c>
      <c r="L310" t="str">
        <f>_xlfn.XLOOKUP(sales[[#This Row],[Customer_ID]],customers[Customer_ID],customers[Customer_Name])</f>
        <v>Keerthi_15</v>
      </c>
      <c r="M310" t="str">
        <f>IF(sales[[#This Row],[Total_Amount]]&gt;=50000,"High Sales","Low Sales")</f>
        <v>Low Sales</v>
      </c>
      <c r="N310">
        <f>sales[[#This Row],[Total_Amount]]/sales[[#This Row],[Quantity]]</f>
        <v>8044.74</v>
      </c>
    </row>
    <row r="311" spans="1:14" x14ac:dyDescent="0.3">
      <c r="A311" t="s">
        <v>1041</v>
      </c>
      <c r="B311">
        <v>1012</v>
      </c>
      <c r="C311" t="s">
        <v>122</v>
      </c>
      <c r="D311" t="s">
        <v>62</v>
      </c>
      <c r="E311" t="s">
        <v>998</v>
      </c>
      <c r="F311">
        <v>3</v>
      </c>
      <c r="G311">
        <v>285187.02</v>
      </c>
      <c r="H311" t="s">
        <v>528</v>
      </c>
      <c r="I311">
        <v>2025</v>
      </c>
      <c r="J311" t="str">
        <f>_xlfn.XLOOKUP(sales[[#This Row],[Product_ID]],products[Product_ID],products[Product_Name])</f>
        <v>Router 26</v>
      </c>
      <c r="K311" t="str">
        <f>_xlfn.XLOOKUP(sales[[#This Row],[Store_ID]],stores[Store_ID],stores[Store_Name])</f>
        <v>Pune Store</v>
      </c>
      <c r="L311" t="str">
        <f>_xlfn.XLOOKUP(sales[[#This Row],[Customer_ID]],customers[Customer_ID],customers[Customer_Name])</f>
        <v>Anjali_12</v>
      </c>
      <c r="M311" t="str">
        <f>IF(sales[[#This Row],[Total_Amount]]&gt;=50000,"High Sales","Low Sales")</f>
        <v>High Sales</v>
      </c>
      <c r="N311">
        <f>sales[[#This Row],[Total_Amount]]/sales[[#This Row],[Quantity]]</f>
        <v>95062.340000000011</v>
      </c>
    </row>
    <row r="312" spans="1:14" x14ac:dyDescent="0.3">
      <c r="A312" t="s">
        <v>1042</v>
      </c>
      <c r="B312">
        <v>1084</v>
      </c>
      <c r="C312" t="s">
        <v>96</v>
      </c>
      <c r="D312" t="s">
        <v>57</v>
      </c>
      <c r="E312" t="s">
        <v>494</v>
      </c>
      <c r="F312">
        <v>1</v>
      </c>
      <c r="G312">
        <v>30458.240000000002</v>
      </c>
      <c r="H312" t="s">
        <v>572</v>
      </c>
      <c r="I312">
        <v>2025</v>
      </c>
      <c r="J312" t="str">
        <f>_xlfn.XLOOKUP(sales[[#This Row],[Product_ID]],products[Product_ID],products[Product_Name])</f>
        <v>Printer 13</v>
      </c>
      <c r="K312" t="str">
        <f>_xlfn.XLOOKUP(sales[[#This Row],[Store_ID]],stores[Store_ID],stores[Store_Name])</f>
        <v>Bengaluru Store</v>
      </c>
      <c r="L312" t="str">
        <f>_xlfn.XLOOKUP(sales[[#This Row],[Customer_ID]],customers[Customer_ID],customers[Customer_Name])</f>
        <v>Vikram_84</v>
      </c>
      <c r="M312" t="str">
        <f>IF(sales[[#This Row],[Total_Amount]]&gt;=50000,"High Sales","Low Sales")</f>
        <v>Low Sales</v>
      </c>
      <c r="N312">
        <f>sales[[#This Row],[Total_Amount]]/sales[[#This Row],[Quantity]]</f>
        <v>30458.240000000002</v>
      </c>
    </row>
    <row r="313" spans="1:14" x14ac:dyDescent="0.3">
      <c r="A313" t="s">
        <v>1043</v>
      </c>
      <c r="B313">
        <v>1054</v>
      </c>
      <c r="C313" t="s">
        <v>77</v>
      </c>
      <c r="D313" t="s">
        <v>50</v>
      </c>
      <c r="E313" t="s">
        <v>1007</v>
      </c>
      <c r="F313">
        <v>3</v>
      </c>
      <c r="G313">
        <v>239576.25</v>
      </c>
      <c r="H313" t="s">
        <v>575</v>
      </c>
      <c r="I313">
        <v>2025</v>
      </c>
      <c r="J313" t="str">
        <f>_xlfn.XLOOKUP(sales[[#This Row],[Product_ID]],products[Product_ID],products[Product_Name])</f>
        <v>Monitor 4</v>
      </c>
      <c r="K313" t="str">
        <f>_xlfn.XLOOKUP(sales[[#This Row],[Store_ID]],stores[Store_ID],stores[Store_Name])</f>
        <v>Guntur Store</v>
      </c>
      <c r="L313" t="str">
        <f>_xlfn.XLOOKUP(sales[[#This Row],[Customer_ID]],customers[Customer_ID],customers[Customer_Name])</f>
        <v>Keerthi_54</v>
      </c>
      <c r="M313" t="str">
        <f>IF(sales[[#This Row],[Total_Amount]]&gt;=50000,"High Sales","Low Sales")</f>
        <v>High Sales</v>
      </c>
      <c r="N313">
        <f>sales[[#This Row],[Total_Amount]]/sales[[#This Row],[Quantity]]</f>
        <v>79858.75</v>
      </c>
    </row>
    <row r="314" spans="1:14" x14ac:dyDescent="0.3">
      <c r="A314" t="s">
        <v>1044</v>
      </c>
      <c r="B314">
        <v>1192</v>
      </c>
      <c r="C314" t="s">
        <v>108</v>
      </c>
      <c r="D314" t="s">
        <v>59</v>
      </c>
      <c r="E314" t="s">
        <v>1045</v>
      </c>
      <c r="F314">
        <v>2</v>
      </c>
      <c r="G314">
        <v>1679.06</v>
      </c>
      <c r="H314" t="s">
        <v>558</v>
      </c>
      <c r="I314">
        <v>2025</v>
      </c>
      <c r="J314" t="str">
        <f>_xlfn.XLOOKUP(sales[[#This Row],[Product_ID]],products[Product_ID],products[Product_Name])</f>
        <v>Mouse 19</v>
      </c>
      <c r="K314" t="str">
        <f>_xlfn.XLOOKUP(sales[[#This Row],[Store_ID]],stores[Store_ID],stores[Store_Name])</f>
        <v>Chennai Store</v>
      </c>
      <c r="L314" t="str">
        <f>_xlfn.XLOOKUP(sales[[#This Row],[Customer_ID]],customers[Customer_ID],customers[Customer_Name])</f>
        <v>Ravi_192</v>
      </c>
      <c r="M314" t="str">
        <f>IF(sales[[#This Row],[Total_Amount]]&gt;=50000,"High Sales","Low Sales")</f>
        <v>Low Sales</v>
      </c>
      <c r="N314">
        <f>sales[[#This Row],[Total_Amount]]/sales[[#This Row],[Quantity]]</f>
        <v>839.53</v>
      </c>
    </row>
    <row r="315" spans="1:14" x14ac:dyDescent="0.3">
      <c r="A315" t="s">
        <v>1046</v>
      </c>
      <c r="B315">
        <v>1001</v>
      </c>
      <c r="C315" t="s">
        <v>96</v>
      </c>
      <c r="D315" t="s">
        <v>59</v>
      </c>
      <c r="E315" t="s">
        <v>1047</v>
      </c>
      <c r="F315">
        <v>4</v>
      </c>
      <c r="G315">
        <v>57284.68</v>
      </c>
      <c r="H315" t="s">
        <v>522</v>
      </c>
      <c r="I315">
        <v>2025</v>
      </c>
      <c r="J315" t="str">
        <f>_xlfn.XLOOKUP(sales[[#This Row],[Product_ID]],products[Product_ID],products[Product_Name])</f>
        <v>Printer 13</v>
      </c>
      <c r="K315" t="str">
        <f>_xlfn.XLOOKUP(sales[[#This Row],[Store_ID]],stores[Store_ID],stores[Store_Name])</f>
        <v>Chennai Store</v>
      </c>
      <c r="L315" t="str">
        <f>_xlfn.XLOOKUP(sales[[#This Row],[Customer_ID]],customers[Customer_ID],customers[Customer_Name])</f>
        <v>Akhil_1</v>
      </c>
      <c r="M315" t="str">
        <f>IF(sales[[#This Row],[Total_Amount]]&gt;=50000,"High Sales","Low Sales")</f>
        <v>High Sales</v>
      </c>
      <c r="N315">
        <f>sales[[#This Row],[Total_Amount]]/sales[[#This Row],[Quantity]]</f>
        <v>14321.17</v>
      </c>
    </row>
    <row r="316" spans="1:14" x14ac:dyDescent="0.3">
      <c r="A316" t="s">
        <v>1048</v>
      </c>
      <c r="B316">
        <v>1023</v>
      </c>
      <c r="C316" t="s">
        <v>110</v>
      </c>
      <c r="D316" t="s">
        <v>59</v>
      </c>
      <c r="E316" t="s">
        <v>960</v>
      </c>
      <c r="F316">
        <v>2</v>
      </c>
      <c r="G316">
        <v>79255.64</v>
      </c>
      <c r="H316" t="s">
        <v>531</v>
      </c>
      <c r="I316">
        <v>2026</v>
      </c>
      <c r="J316" t="str">
        <f>_xlfn.XLOOKUP(sales[[#This Row],[Product_ID]],products[Product_ID],products[Product_Name])</f>
        <v>Keyboard 20</v>
      </c>
      <c r="K316" t="str">
        <f>_xlfn.XLOOKUP(sales[[#This Row],[Store_ID]],stores[Store_ID],stores[Store_Name])</f>
        <v>Chennai Store</v>
      </c>
      <c r="L316" t="str">
        <f>_xlfn.XLOOKUP(sales[[#This Row],[Customer_ID]],customers[Customer_ID],customers[Customer_Name])</f>
        <v>Arjun_23</v>
      </c>
      <c r="M316" t="str">
        <f>IF(sales[[#This Row],[Total_Amount]]&gt;=50000,"High Sales","Low Sales")</f>
        <v>High Sales</v>
      </c>
      <c r="N316">
        <f>sales[[#This Row],[Total_Amount]]/sales[[#This Row],[Quantity]]</f>
        <v>39627.82</v>
      </c>
    </row>
    <row r="317" spans="1:14" x14ac:dyDescent="0.3">
      <c r="A317" t="s">
        <v>1049</v>
      </c>
      <c r="B317">
        <v>1121</v>
      </c>
      <c r="C317" t="s">
        <v>120</v>
      </c>
      <c r="D317" t="s">
        <v>42</v>
      </c>
      <c r="E317" t="s">
        <v>1050</v>
      </c>
      <c r="F317">
        <v>4</v>
      </c>
      <c r="G317">
        <v>393016.88</v>
      </c>
      <c r="H317" t="s">
        <v>528</v>
      </c>
      <c r="I317">
        <v>2025</v>
      </c>
      <c r="J317" t="str">
        <f>_xlfn.XLOOKUP(sales[[#This Row],[Product_ID]],products[Product_ID],products[Product_Name])</f>
        <v>Printer 25</v>
      </c>
      <c r="K317" t="str">
        <f>_xlfn.XLOOKUP(sales[[#This Row],[Store_ID]],stores[Store_ID],stores[Store_Name])</f>
        <v>Hyderabad Store</v>
      </c>
      <c r="L317" t="str">
        <f>_xlfn.XLOOKUP(sales[[#This Row],[Customer_ID]],customers[Customer_ID],customers[Customer_Name])</f>
        <v>Akhil_121</v>
      </c>
      <c r="M317" t="str">
        <f>IF(sales[[#This Row],[Total_Amount]]&gt;=50000,"High Sales","Low Sales")</f>
        <v>High Sales</v>
      </c>
      <c r="N317">
        <f>sales[[#This Row],[Total_Amount]]/sales[[#This Row],[Quantity]]</f>
        <v>98254.22</v>
      </c>
    </row>
    <row r="318" spans="1:14" x14ac:dyDescent="0.3">
      <c r="A318" t="s">
        <v>1051</v>
      </c>
      <c r="B318">
        <v>1039</v>
      </c>
      <c r="C318" t="s">
        <v>104</v>
      </c>
      <c r="D318" t="s">
        <v>48</v>
      </c>
      <c r="E318" t="s">
        <v>1052</v>
      </c>
      <c r="F318">
        <v>3</v>
      </c>
      <c r="G318">
        <v>319106.61</v>
      </c>
      <c r="H318" t="s">
        <v>537</v>
      </c>
      <c r="I318">
        <v>2025</v>
      </c>
      <c r="J318" t="str">
        <f>_xlfn.XLOOKUP(sales[[#This Row],[Product_ID]],products[Product_ID],products[Product_Name])</f>
        <v>Mixer 17</v>
      </c>
      <c r="K318" t="str">
        <f>_xlfn.XLOOKUP(sales[[#This Row],[Store_ID]],stores[Store_ID],stores[Store_Name])</f>
        <v>Visakhapatnam Store</v>
      </c>
      <c r="L318" t="str">
        <f>_xlfn.XLOOKUP(sales[[#This Row],[Customer_ID]],customers[Customer_ID],customers[Customer_Name])</f>
        <v>Ramesh_39</v>
      </c>
      <c r="M318" t="str">
        <f>IF(sales[[#This Row],[Total_Amount]]&gt;=50000,"High Sales","Low Sales")</f>
        <v>High Sales</v>
      </c>
      <c r="N318">
        <f>sales[[#This Row],[Total_Amount]]/sales[[#This Row],[Quantity]]</f>
        <v>106368.87</v>
      </c>
    </row>
    <row r="319" spans="1:14" x14ac:dyDescent="0.3">
      <c r="A319" t="s">
        <v>1053</v>
      </c>
      <c r="B319">
        <v>1013</v>
      </c>
      <c r="C319" t="s">
        <v>130</v>
      </c>
      <c r="D319" t="s">
        <v>53</v>
      </c>
      <c r="E319" t="s">
        <v>719</v>
      </c>
      <c r="F319">
        <v>1</v>
      </c>
      <c r="G319">
        <v>75410.789999999994</v>
      </c>
      <c r="H319" t="s">
        <v>540</v>
      </c>
      <c r="I319">
        <v>2025</v>
      </c>
      <c r="J319" t="str">
        <f>_xlfn.XLOOKUP(sales[[#This Row],[Product_ID]],products[Product_ID],products[Product_Name])</f>
        <v>Monitor 30</v>
      </c>
      <c r="K319" t="str">
        <f>_xlfn.XLOOKUP(sales[[#This Row],[Store_ID]],stores[Store_ID],stores[Store_Name])</f>
        <v>Warangal Store</v>
      </c>
      <c r="L319" t="str">
        <f>_xlfn.XLOOKUP(sales[[#This Row],[Customer_ID]],customers[Customer_ID],customers[Customer_Name])</f>
        <v>Anjali_13</v>
      </c>
      <c r="M319" t="str">
        <f>IF(sales[[#This Row],[Total_Amount]]&gt;=50000,"High Sales","Low Sales")</f>
        <v>High Sales</v>
      </c>
      <c r="N319">
        <f>sales[[#This Row],[Total_Amount]]/sales[[#This Row],[Quantity]]</f>
        <v>75410.789999999994</v>
      </c>
    </row>
    <row r="320" spans="1:14" x14ac:dyDescent="0.3">
      <c r="A320" t="s">
        <v>1054</v>
      </c>
      <c r="B320">
        <v>1045</v>
      </c>
      <c r="C320" t="s">
        <v>112</v>
      </c>
      <c r="D320" t="s">
        <v>46</v>
      </c>
      <c r="E320" t="s">
        <v>651</v>
      </c>
      <c r="F320">
        <v>5</v>
      </c>
      <c r="G320">
        <v>234709.2</v>
      </c>
      <c r="H320" t="s">
        <v>525</v>
      </c>
      <c r="I320">
        <v>2025</v>
      </c>
      <c r="J320" t="str">
        <f>_xlfn.XLOOKUP(sales[[#This Row],[Product_ID]],products[Product_ID],products[Product_Name])</f>
        <v>Monitor 21</v>
      </c>
      <c r="K320" t="str">
        <f>_xlfn.XLOOKUP(sales[[#This Row],[Store_ID]],stores[Store_ID],stores[Store_Name])</f>
        <v>Vijayawada Store</v>
      </c>
      <c r="L320" t="str">
        <f>_xlfn.XLOOKUP(sales[[#This Row],[Customer_ID]],customers[Customer_ID],customers[Customer_Name])</f>
        <v>Rahul_45</v>
      </c>
      <c r="M320" t="str">
        <f>IF(sales[[#This Row],[Total_Amount]]&gt;=50000,"High Sales","Low Sales")</f>
        <v>High Sales</v>
      </c>
      <c r="N320">
        <f>sales[[#This Row],[Total_Amount]]/sales[[#This Row],[Quantity]]</f>
        <v>46941.840000000004</v>
      </c>
    </row>
    <row r="321" spans="1:14" x14ac:dyDescent="0.3">
      <c r="A321" t="s">
        <v>1055</v>
      </c>
      <c r="B321">
        <v>1154</v>
      </c>
      <c r="C321" t="s">
        <v>106</v>
      </c>
      <c r="D321" t="s">
        <v>59</v>
      </c>
      <c r="E321" t="s">
        <v>176</v>
      </c>
      <c r="F321">
        <v>5</v>
      </c>
      <c r="G321">
        <v>351660.45</v>
      </c>
      <c r="H321" t="s">
        <v>540</v>
      </c>
      <c r="I321">
        <v>2025</v>
      </c>
      <c r="J321" t="str">
        <f>_xlfn.XLOOKUP(sales[[#This Row],[Product_ID]],products[Product_ID],products[Product_Name])</f>
        <v>Microwave 18</v>
      </c>
      <c r="K321" t="str">
        <f>_xlfn.XLOOKUP(sales[[#This Row],[Store_ID]],stores[Store_ID],stores[Store_Name])</f>
        <v>Chennai Store</v>
      </c>
      <c r="L321" t="str">
        <f>_xlfn.XLOOKUP(sales[[#This Row],[Customer_ID]],customers[Customer_ID],customers[Customer_Name])</f>
        <v>Priya_154</v>
      </c>
      <c r="M321" t="str">
        <f>IF(sales[[#This Row],[Total_Amount]]&gt;=50000,"High Sales","Low Sales")</f>
        <v>High Sales</v>
      </c>
      <c r="N321">
        <f>sales[[#This Row],[Total_Amount]]/sales[[#This Row],[Quantity]]</f>
        <v>70332.09</v>
      </c>
    </row>
    <row r="322" spans="1:14" x14ac:dyDescent="0.3">
      <c r="A322" t="s">
        <v>1056</v>
      </c>
      <c r="B322">
        <v>1056</v>
      </c>
      <c r="C322" t="s">
        <v>104</v>
      </c>
      <c r="D322" t="s">
        <v>57</v>
      </c>
      <c r="E322" t="s">
        <v>1057</v>
      </c>
      <c r="F322">
        <v>4</v>
      </c>
      <c r="G322">
        <v>72465.399999999994</v>
      </c>
      <c r="H322" t="s">
        <v>537</v>
      </c>
      <c r="I322">
        <v>2026</v>
      </c>
      <c r="J322" t="str">
        <f>_xlfn.XLOOKUP(sales[[#This Row],[Product_ID]],products[Product_ID],products[Product_Name])</f>
        <v>Mixer 17</v>
      </c>
      <c r="K322" t="str">
        <f>_xlfn.XLOOKUP(sales[[#This Row],[Store_ID]],stores[Store_ID],stores[Store_Name])</f>
        <v>Bengaluru Store</v>
      </c>
      <c r="L322" t="str">
        <f>_xlfn.XLOOKUP(sales[[#This Row],[Customer_ID]],customers[Customer_ID],customers[Customer_Name])</f>
        <v>Vikram_56</v>
      </c>
      <c r="M322" t="str">
        <f>IF(sales[[#This Row],[Total_Amount]]&gt;=50000,"High Sales","Low Sales")</f>
        <v>High Sales</v>
      </c>
      <c r="N322">
        <f>sales[[#This Row],[Total_Amount]]/sales[[#This Row],[Quantity]]</f>
        <v>18116.349999999999</v>
      </c>
    </row>
    <row r="323" spans="1:14" x14ac:dyDescent="0.3">
      <c r="A323" t="s">
        <v>1058</v>
      </c>
      <c r="B323">
        <v>1141</v>
      </c>
      <c r="C323" t="s">
        <v>102</v>
      </c>
      <c r="D323" t="s">
        <v>62</v>
      </c>
      <c r="E323" t="s">
        <v>1059</v>
      </c>
      <c r="F323">
        <v>1</v>
      </c>
      <c r="G323">
        <v>32714.09</v>
      </c>
      <c r="H323" t="s">
        <v>537</v>
      </c>
      <c r="I323">
        <v>2025</v>
      </c>
      <c r="J323" t="str">
        <f>_xlfn.XLOOKUP(sales[[#This Row],[Product_ID]],products[Product_ID],products[Product_Name])</f>
        <v>Power Bank 16</v>
      </c>
      <c r="K323" t="str">
        <f>_xlfn.XLOOKUP(sales[[#This Row],[Store_ID]],stores[Store_ID],stores[Store_Name])</f>
        <v>Pune Store</v>
      </c>
      <c r="L323" t="str">
        <f>_xlfn.XLOOKUP(sales[[#This Row],[Customer_ID]],customers[Customer_ID],customers[Customer_Name])</f>
        <v>Arjun_141</v>
      </c>
      <c r="M323" t="str">
        <f>IF(sales[[#This Row],[Total_Amount]]&gt;=50000,"High Sales","Low Sales")</f>
        <v>Low Sales</v>
      </c>
      <c r="N323">
        <f>sales[[#This Row],[Total_Amount]]/sales[[#This Row],[Quantity]]</f>
        <v>32714.09</v>
      </c>
    </row>
    <row r="324" spans="1:14" x14ac:dyDescent="0.3">
      <c r="A324" t="s">
        <v>1060</v>
      </c>
      <c r="B324">
        <v>1092</v>
      </c>
      <c r="C324" t="s">
        <v>69</v>
      </c>
      <c r="D324" t="s">
        <v>46</v>
      </c>
      <c r="E324" t="s">
        <v>1061</v>
      </c>
      <c r="F324">
        <v>4</v>
      </c>
      <c r="G324">
        <v>163016.68</v>
      </c>
      <c r="H324" t="s">
        <v>558</v>
      </c>
      <c r="I324">
        <v>2025</v>
      </c>
      <c r="J324" t="str">
        <f>_xlfn.XLOOKUP(sales[[#This Row],[Product_ID]],products[Product_ID],products[Product_Name])</f>
        <v>Headphones 1</v>
      </c>
      <c r="K324" t="str">
        <f>_xlfn.XLOOKUP(sales[[#This Row],[Store_ID]],stores[Store_ID],stores[Store_Name])</f>
        <v>Vijayawada Store</v>
      </c>
      <c r="L324" t="str">
        <f>_xlfn.XLOOKUP(sales[[#This Row],[Customer_ID]],customers[Customer_ID],customers[Customer_Name])</f>
        <v>Priya_92</v>
      </c>
      <c r="M324" t="str">
        <f>IF(sales[[#This Row],[Total_Amount]]&gt;=50000,"High Sales","Low Sales")</f>
        <v>High Sales</v>
      </c>
      <c r="N324">
        <f>sales[[#This Row],[Total_Amount]]/sales[[#This Row],[Quantity]]</f>
        <v>40754.17</v>
      </c>
    </row>
    <row r="325" spans="1:14" x14ac:dyDescent="0.3">
      <c r="A325" t="s">
        <v>1062</v>
      </c>
      <c r="B325">
        <v>1093</v>
      </c>
      <c r="C325" t="s">
        <v>94</v>
      </c>
      <c r="D325" t="s">
        <v>53</v>
      </c>
      <c r="E325" t="s">
        <v>619</v>
      </c>
      <c r="F325">
        <v>3</v>
      </c>
      <c r="G325">
        <v>175751.46</v>
      </c>
      <c r="H325" t="s">
        <v>531</v>
      </c>
      <c r="I325">
        <v>2026</v>
      </c>
      <c r="J325" t="str">
        <f>_xlfn.XLOOKUP(sales[[#This Row],[Product_ID]],products[Product_ID],products[Product_Name])</f>
        <v>Mouse 12</v>
      </c>
      <c r="K325" t="str">
        <f>_xlfn.XLOOKUP(sales[[#This Row],[Store_ID]],stores[Store_ID],stores[Store_Name])</f>
        <v>Warangal Store</v>
      </c>
      <c r="L325" t="str">
        <f>_xlfn.XLOOKUP(sales[[#This Row],[Customer_ID]],customers[Customer_ID],customers[Customer_Name])</f>
        <v>Arjun_93</v>
      </c>
      <c r="M325" t="str">
        <f>IF(sales[[#This Row],[Total_Amount]]&gt;=50000,"High Sales","Low Sales")</f>
        <v>High Sales</v>
      </c>
      <c r="N325">
        <f>sales[[#This Row],[Total_Amount]]/sales[[#This Row],[Quantity]]</f>
        <v>58583.82</v>
      </c>
    </row>
    <row r="326" spans="1:14" x14ac:dyDescent="0.3">
      <c r="A326" t="s">
        <v>1063</v>
      </c>
      <c r="B326">
        <v>1178</v>
      </c>
      <c r="C326" t="s">
        <v>72</v>
      </c>
      <c r="D326" t="s">
        <v>59</v>
      </c>
      <c r="E326" t="s">
        <v>1064</v>
      </c>
      <c r="F326">
        <v>4</v>
      </c>
      <c r="G326">
        <v>269417.71999999997</v>
      </c>
      <c r="H326" t="s">
        <v>525</v>
      </c>
      <c r="I326">
        <v>2025</v>
      </c>
      <c r="J326" t="str">
        <f>_xlfn.XLOOKUP(sales[[#This Row],[Product_ID]],products[Product_ID],products[Product_Name])</f>
        <v>Headphones 2</v>
      </c>
      <c r="K326" t="str">
        <f>_xlfn.XLOOKUP(sales[[#This Row],[Store_ID]],stores[Store_ID],stores[Store_Name])</f>
        <v>Chennai Store</v>
      </c>
      <c r="L326" t="str">
        <f>_xlfn.XLOOKUP(sales[[#This Row],[Customer_ID]],customers[Customer_ID],customers[Customer_Name])</f>
        <v>Divya_178</v>
      </c>
      <c r="M326" t="str">
        <f>IF(sales[[#This Row],[Total_Amount]]&gt;=50000,"High Sales","Low Sales")</f>
        <v>High Sales</v>
      </c>
      <c r="N326">
        <f>sales[[#This Row],[Total_Amount]]/sales[[#This Row],[Quantity]]</f>
        <v>67354.429999999993</v>
      </c>
    </row>
    <row r="327" spans="1:14" x14ac:dyDescent="0.3">
      <c r="A327" t="s">
        <v>1065</v>
      </c>
      <c r="B327">
        <v>1113</v>
      </c>
      <c r="C327" t="s">
        <v>86</v>
      </c>
      <c r="D327" t="s">
        <v>42</v>
      </c>
      <c r="E327" t="s">
        <v>170</v>
      </c>
      <c r="F327">
        <v>1</v>
      </c>
      <c r="G327">
        <v>118082.63</v>
      </c>
      <c r="H327" t="s">
        <v>558</v>
      </c>
      <c r="I327">
        <v>2025</v>
      </c>
      <c r="J327" t="str">
        <f>_xlfn.XLOOKUP(sales[[#This Row],[Product_ID]],products[Product_ID],products[Product_Name])</f>
        <v>Laptop 8</v>
      </c>
      <c r="K327" t="str">
        <f>_xlfn.XLOOKUP(sales[[#This Row],[Store_ID]],stores[Store_ID],stores[Store_Name])</f>
        <v>Hyderabad Store</v>
      </c>
      <c r="L327" t="str">
        <f>_xlfn.XLOOKUP(sales[[#This Row],[Customer_ID]],customers[Customer_ID],customers[Customer_Name])</f>
        <v>Nikhil_113</v>
      </c>
      <c r="M327" t="str">
        <f>IF(sales[[#This Row],[Total_Amount]]&gt;=50000,"High Sales","Low Sales")</f>
        <v>High Sales</v>
      </c>
      <c r="N327">
        <f>sales[[#This Row],[Total_Amount]]/sales[[#This Row],[Quantity]]</f>
        <v>118082.63</v>
      </c>
    </row>
    <row r="328" spans="1:14" x14ac:dyDescent="0.3">
      <c r="A328" t="s">
        <v>1066</v>
      </c>
      <c r="B328">
        <v>1072</v>
      </c>
      <c r="C328" t="s">
        <v>79</v>
      </c>
      <c r="D328" t="s">
        <v>53</v>
      </c>
      <c r="E328" t="s">
        <v>960</v>
      </c>
      <c r="F328">
        <v>3</v>
      </c>
      <c r="G328">
        <v>234047.04</v>
      </c>
      <c r="H328" t="s">
        <v>531</v>
      </c>
      <c r="I328">
        <v>2026</v>
      </c>
      <c r="J328" t="str">
        <f>_xlfn.XLOOKUP(sales[[#This Row],[Product_ID]],products[Product_ID],products[Product_Name])</f>
        <v>Smartphone 5</v>
      </c>
      <c r="K328" t="str">
        <f>_xlfn.XLOOKUP(sales[[#This Row],[Store_ID]],stores[Store_ID],stores[Store_Name])</f>
        <v>Warangal Store</v>
      </c>
      <c r="L328" t="str">
        <f>_xlfn.XLOOKUP(sales[[#This Row],[Customer_ID]],customers[Customer_ID],customers[Customer_Name])</f>
        <v>Sita_72</v>
      </c>
      <c r="M328" t="str">
        <f>IF(sales[[#This Row],[Total_Amount]]&gt;=50000,"High Sales","Low Sales")</f>
        <v>High Sales</v>
      </c>
      <c r="N328">
        <f>sales[[#This Row],[Total_Amount]]/sales[[#This Row],[Quantity]]</f>
        <v>78015.680000000008</v>
      </c>
    </row>
    <row r="329" spans="1:14" x14ac:dyDescent="0.3">
      <c r="A329" t="s">
        <v>1067</v>
      </c>
      <c r="B329">
        <v>1040</v>
      </c>
      <c r="C329" t="s">
        <v>114</v>
      </c>
      <c r="D329" t="s">
        <v>57</v>
      </c>
      <c r="E329" t="s">
        <v>1068</v>
      </c>
      <c r="F329">
        <v>5</v>
      </c>
      <c r="G329">
        <v>51807.65</v>
      </c>
      <c r="H329" t="s">
        <v>537</v>
      </c>
      <c r="I329">
        <v>2025</v>
      </c>
      <c r="J329" t="str">
        <f>_xlfn.XLOOKUP(sales[[#This Row],[Product_ID]],products[Product_ID],products[Product_Name])</f>
        <v>Mixer 22</v>
      </c>
      <c r="K329" t="str">
        <f>_xlfn.XLOOKUP(sales[[#This Row],[Store_ID]],stores[Store_ID],stores[Store_Name])</f>
        <v>Bengaluru Store</v>
      </c>
      <c r="L329" t="str">
        <f>_xlfn.XLOOKUP(sales[[#This Row],[Customer_ID]],customers[Customer_ID],customers[Customer_Name])</f>
        <v>Sneha_40</v>
      </c>
      <c r="M329" t="str">
        <f>IF(sales[[#This Row],[Total_Amount]]&gt;=50000,"High Sales","Low Sales")</f>
        <v>High Sales</v>
      </c>
      <c r="N329">
        <f>sales[[#This Row],[Total_Amount]]/sales[[#This Row],[Quantity]]</f>
        <v>10361.530000000001</v>
      </c>
    </row>
    <row r="330" spans="1:14" x14ac:dyDescent="0.3">
      <c r="A330" t="s">
        <v>1069</v>
      </c>
      <c r="B330">
        <v>1164</v>
      </c>
      <c r="C330" t="s">
        <v>102</v>
      </c>
      <c r="D330" t="s">
        <v>62</v>
      </c>
      <c r="E330" t="s">
        <v>852</v>
      </c>
      <c r="F330">
        <v>4</v>
      </c>
      <c r="G330">
        <v>437921.52</v>
      </c>
      <c r="H330" t="s">
        <v>528</v>
      </c>
      <c r="I330">
        <v>2025</v>
      </c>
      <c r="J330" t="str">
        <f>_xlfn.XLOOKUP(sales[[#This Row],[Product_ID]],products[Product_ID],products[Product_Name])</f>
        <v>Power Bank 16</v>
      </c>
      <c r="K330" t="str">
        <f>_xlfn.XLOOKUP(sales[[#This Row],[Store_ID]],stores[Store_ID],stores[Store_Name])</f>
        <v>Pune Store</v>
      </c>
      <c r="L330" t="str">
        <f>_xlfn.XLOOKUP(sales[[#This Row],[Customer_ID]],customers[Customer_ID],customers[Customer_Name])</f>
        <v>Anjali_164</v>
      </c>
      <c r="M330" t="str">
        <f>IF(sales[[#This Row],[Total_Amount]]&gt;=50000,"High Sales","Low Sales")</f>
        <v>High Sales</v>
      </c>
      <c r="N330">
        <f>sales[[#This Row],[Total_Amount]]/sales[[#This Row],[Quantity]]</f>
        <v>109480.38</v>
      </c>
    </row>
    <row r="331" spans="1:14" x14ac:dyDescent="0.3">
      <c r="A331" t="s">
        <v>1070</v>
      </c>
      <c r="B331">
        <v>1004</v>
      </c>
      <c r="C331" t="s">
        <v>72</v>
      </c>
      <c r="D331" t="s">
        <v>57</v>
      </c>
      <c r="E331" t="s">
        <v>1071</v>
      </c>
      <c r="F331">
        <v>4</v>
      </c>
      <c r="G331">
        <v>396400.68</v>
      </c>
      <c r="H331" t="s">
        <v>528</v>
      </c>
      <c r="I331">
        <v>2025</v>
      </c>
      <c r="J331" t="str">
        <f>_xlfn.XLOOKUP(sales[[#This Row],[Product_ID]],products[Product_ID],products[Product_Name])</f>
        <v>Headphones 2</v>
      </c>
      <c r="K331" t="str">
        <f>_xlfn.XLOOKUP(sales[[#This Row],[Store_ID]],stores[Store_ID],stores[Store_Name])</f>
        <v>Bengaluru Store</v>
      </c>
      <c r="L331" t="str">
        <f>_xlfn.XLOOKUP(sales[[#This Row],[Customer_ID]],customers[Customer_ID],customers[Customer_Name])</f>
        <v>Rahul_4</v>
      </c>
      <c r="M331" t="str">
        <f>IF(sales[[#This Row],[Total_Amount]]&gt;=50000,"High Sales","Low Sales")</f>
        <v>High Sales</v>
      </c>
      <c r="N331">
        <f>sales[[#This Row],[Total_Amount]]/sales[[#This Row],[Quantity]]</f>
        <v>99100.17</v>
      </c>
    </row>
    <row r="332" spans="1:14" x14ac:dyDescent="0.3">
      <c r="A332" t="s">
        <v>1072</v>
      </c>
      <c r="B332">
        <v>1023</v>
      </c>
      <c r="C332" t="s">
        <v>108</v>
      </c>
      <c r="D332" t="s">
        <v>59</v>
      </c>
      <c r="E332" t="s">
        <v>1073</v>
      </c>
      <c r="F332">
        <v>3</v>
      </c>
      <c r="G332">
        <v>62865.24</v>
      </c>
      <c r="H332" t="s">
        <v>545</v>
      </c>
      <c r="I332">
        <v>2026</v>
      </c>
      <c r="J332" t="str">
        <f>_xlfn.XLOOKUP(sales[[#This Row],[Product_ID]],products[Product_ID],products[Product_Name])</f>
        <v>Mouse 19</v>
      </c>
      <c r="K332" t="str">
        <f>_xlfn.XLOOKUP(sales[[#This Row],[Store_ID]],stores[Store_ID],stores[Store_Name])</f>
        <v>Chennai Store</v>
      </c>
      <c r="L332" t="str">
        <f>_xlfn.XLOOKUP(sales[[#This Row],[Customer_ID]],customers[Customer_ID],customers[Customer_Name])</f>
        <v>Arjun_23</v>
      </c>
      <c r="M332" t="str">
        <f>IF(sales[[#This Row],[Total_Amount]]&gt;=50000,"High Sales","Low Sales")</f>
        <v>High Sales</v>
      </c>
      <c r="N332">
        <f>sales[[#This Row],[Total_Amount]]/sales[[#This Row],[Quantity]]</f>
        <v>20955.079999999998</v>
      </c>
    </row>
    <row r="333" spans="1:14" x14ac:dyDescent="0.3">
      <c r="A333" t="s">
        <v>1074</v>
      </c>
      <c r="B333">
        <v>1136</v>
      </c>
      <c r="C333" t="s">
        <v>110</v>
      </c>
      <c r="D333" t="s">
        <v>48</v>
      </c>
      <c r="E333" t="s">
        <v>605</v>
      </c>
      <c r="F333">
        <v>1</v>
      </c>
      <c r="G333">
        <v>112049.32</v>
      </c>
      <c r="H333" t="s">
        <v>575</v>
      </c>
      <c r="I333">
        <v>2026</v>
      </c>
      <c r="J333" t="str">
        <f>_xlfn.XLOOKUP(sales[[#This Row],[Product_ID]],products[Product_ID],products[Product_Name])</f>
        <v>Keyboard 20</v>
      </c>
      <c r="K333" t="str">
        <f>_xlfn.XLOOKUP(sales[[#This Row],[Store_ID]],stores[Store_ID],stores[Store_Name])</f>
        <v>Visakhapatnam Store</v>
      </c>
      <c r="L333" t="str">
        <f>_xlfn.XLOOKUP(sales[[#This Row],[Customer_ID]],customers[Customer_ID],customers[Customer_Name])</f>
        <v>Kiran_136</v>
      </c>
      <c r="M333" t="str">
        <f>IF(sales[[#This Row],[Total_Amount]]&gt;=50000,"High Sales","Low Sales")</f>
        <v>High Sales</v>
      </c>
      <c r="N333">
        <f>sales[[#This Row],[Total_Amount]]/sales[[#This Row],[Quantity]]</f>
        <v>112049.32</v>
      </c>
    </row>
    <row r="334" spans="1:14" x14ac:dyDescent="0.3">
      <c r="A334" t="s">
        <v>1075</v>
      </c>
      <c r="B334">
        <v>1030</v>
      </c>
      <c r="C334" t="s">
        <v>108</v>
      </c>
      <c r="D334" t="s">
        <v>62</v>
      </c>
      <c r="E334" t="s">
        <v>1076</v>
      </c>
      <c r="F334">
        <v>4</v>
      </c>
      <c r="G334">
        <v>215250.28</v>
      </c>
      <c r="H334" t="s">
        <v>525</v>
      </c>
      <c r="I334">
        <v>2026</v>
      </c>
      <c r="J334" t="str">
        <f>_xlfn.XLOOKUP(sales[[#This Row],[Product_ID]],products[Product_ID],products[Product_Name])</f>
        <v>Mouse 19</v>
      </c>
      <c r="K334" t="str">
        <f>_xlfn.XLOOKUP(sales[[#This Row],[Store_ID]],stores[Store_ID],stores[Store_Name])</f>
        <v>Pune Store</v>
      </c>
      <c r="L334" t="str">
        <f>_xlfn.XLOOKUP(sales[[#This Row],[Customer_ID]],customers[Customer_ID],customers[Customer_Name])</f>
        <v>Ramesh_30</v>
      </c>
      <c r="M334" t="str">
        <f>IF(sales[[#This Row],[Total_Amount]]&gt;=50000,"High Sales","Low Sales")</f>
        <v>High Sales</v>
      </c>
      <c r="N334">
        <f>sales[[#This Row],[Total_Amount]]/sales[[#This Row],[Quantity]]</f>
        <v>53812.57</v>
      </c>
    </row>
    <row r="335" spans="1:14" x14ac:dyDescent="0.3">
      <c r="A335" t="s">
        <v>1077</v>
      </c>
      <c r="B335">
        <v>1020</v>
      </c>
      <c r="C335" t="s">
        <v>69</v>
      </c>
      <c r="D335" t="s">
        <v>50</v>
      </c>
      <c r="E335" t="s">
        <v>1078</v>
      </c>
      <c r="F335">
        <v>2</v>
      </c>
      <c r="G335">
        <v>36226.76</v>
      </c>
      <c r="H335" t="s">
        <v>522</v>
      </c>
      <c r="I335">
        <v>2025</v>
      </c>
      <c r="J335" t="str">
        <f>_xlfn.XLOOKUP(sales[[#This Row],[Product_ID]],products[Product_ID],products[Product_Name])</f>
        <v>Headphones 1</v>
      </c>
      <c r="K335" t="str">
        <f>_xlfn.XLOOKUP(sales[[#This Row],[Store_ID]],stores[Store_ID],stores[Store_Name])</f>
        <v>Guntur Store</v>
      </c>
      <c r="L335" t="str">
        <f>_xlfn.XLOOKUP(sales[[#This Row],[Customer_ID]],customers[Customer_ID],customers[Customer_Name])</f>
        <v>Nikhil_20</v>
      </c>
      <c r="M335" t="str">
        <f>IF(sales[[#This Row],[Total_Amount]]&gt;=50000,"High Sales","Low Sales")</f>
        <v>Low Sales</v>
      </c>
      <c r="N335">
        <f>sales[[#This Row],[Total_Amount]]/sales[[#This Row],[Quantity]]</f>
        <v>18113.38</v>
      </c>
    </row>
    <row r="336" spans="1:14" x14ac:dyDescent="0.3">
      <c r="A336" t="s">
        <v>1079</v>
      </c>
      <c r="B336">
        <v>1070</v>
      </c>
      <c r="C336" t="s">
        <v>124</v>
      </c>
      <c r="D336" t="s">
        <v>46</v>
      </c>
      <c r="E336" t="s">
        <v>560</v>
      </c>
      <c r="F336">
        <v>2</v>
      </c>
      <c r="G336">
        <v>5247.66</v>
      </c>
      <c r="H336" t="s">
        <v>561</v>
      </c>
      <c r="I336">
        <v>2025</v>
      </c>
      <c r="J336" t="str">
        <f>_xlfn.XLOOKUP(sales[[#This Row],[Product_ID]],products[Product_ID],products[Product_Name])</f>
        <v>Mixer 27</v>
      </c>
      <c r="K336" t="str">
        <f>_xlfn.XLOOKUP(sales[[#This Row],[Store_ID]],stores[Store_ID],stores[Store_Name])</f>
        <v>Vijayawada Store</v>
      </c>
      <c r="L336" t="str">
        <f>_xlfn.XLOOKUP(sales[[#This Row],[Customer_ID]],customers[Customer_ID],customers[Customer_Name])</f>
        <v>Keerthi_70</v>
      </c>
      <c r="M336" t="str">
        <f>IF(sales[[#This Row],[Total_Amount]]&gt;=50000,"High Sales","Low Sales")</f>
        <v>Low Sales</v>
      </c>
      <c r="N336">
        <f>sales[[#This Row],[Total_Amount]]/sales[[#This Row],[Quantity]]</f>
        <v>2623.83</v>
      </c>
    </row>
    <row r="337" spans="1:14" x14ac:dyDescent="0.3">
      <c r="A337" t="s">
        <v>1080</v>
      </c>
      <c r="B337">
        <v>1027</v>
      </c>
      <c r="C337" t="s">
        <v>128</v>
      </c>
      <c r="D337" t="s">
        <v>42</v>
      </c>
      <c r="E337" t="s">
        <v>524</v>
      </c>
      <c r="F337">
        <v>3</v>
      </c>
      <c r="G337">
        <v>56536.83</v>
      </c>
      <c r="H337" t="s">
        <v>525</v>
      </c>
      <c r="I337">
        <v>2025</v>
      </c>
      <c r="J337" t="str">
        <f>_xlfn.XLOOKUP(sales[[#This Row],[Product_ID]],products[Product_ID],products[Product_Name])</f>
        <v>Printer 29</v>
      </c>
      <c r="K337" t="str">
        <f>_xlfn.XLOOKUP(sales[[#This Row],[Store_ID]],stores[Store_ID],stores[Store_Name])</f>
        <v>Hyderabad Store</v>
      </c>
      <c r="L337" t="str">
        <f>_xlfn.XLOOKUP(sales[[#This Row],[Customer_ID]],customers[Customer_ID],customers[Customer_Name])</f>
        <v>Sita_27</v>
      </c>
      <c r="M337" t="str">
        <f>IF(sales[[#This Row],[Total_Amount]]&gt;=50000,"High Sales","Low Sales")</f>
        <v>High Sales</v>
      </c>
      <c r="N337">
        <f>sales[[#This Row],[Total_Amount]]/sales[[#This Row],[Quantity]]</f>
        <v>18845.61</v>
      </c>
    </row>
    <row r="338" spans="1:14" x14ac:dyDescent="0.3">
      <c r="A338" t="s">
        <v>1081</v>
      </c>
      <c r="B338">
        <v>1040</v>
      </c>
      <c r="C338" t="s">
        <v>124</v>
      </c>
      <c r="D338" t="s">
        <v>59</v>
      </c>
      <c r="E338" t="s">
        <v>1082</v>
      </c>
      <c r="F338">
        <v>2</v>
      </c>
      <c r="G338">
        <v>160958.62</v>
      </c>
      <c r="H338" t="s">
        <v>558</v>
      </c>
      <c r="I338">
        <v>2026</v>
      </c>
      <c r="J338" t="str">
        <f>_xlfn.XLOOKUP(sales[[#This Row],[Product_ID]],products[Product_ID],products[Product_Name])</f>
        <v>Mixer 27</v>
      </c>
      <c r="K338" t="str">
        <f>_xlfn.XLOOKUP(sales[[#This Row],[Store_ID]],stores[Store_ID],stores[Store_Name])</f>
        <v>Chennai Store</v>
      </c>
      <c r="L338" t="str">
        <f>_xlfn.XLOOKUP(sales[[#This Row],[Customer_ID]],customers[Customer_ID],customers[Customer_Name])</f>
        <v>Sneha_40</v>
      </c>
      <c r="M338" t="str">
        <f>IF(sales[[#This Row],[Total_Amount]]&gt;=50000,"High Sales","Low Sales")</f>
        <v>High Sales</v>
      </c>
      <c r="N338">
        <f>sales[[#This Row],[Total_Amount]]/sales[[#This Row],[Quantity]]</f>
        <v>80479.31</v>
      </c>
    </row>
    <row r="339" spans="1:14" x14ac:dyDescent="0.3">
      <c r="A339" t="s">
        <v>1083</v>
      </c>
      <c r="B339">
        <v>1168</v>
      </c>
      <c r="C339" t="s">
        <v>100</v>
      </c>
      <c r="D339" t="s">
        <v>62</v>
      </c>
      <c r="E339" t="s">
        <v>644</v>
      </c>
      <c r="F339">
        <v>3</v>
      </c>
      <c r="G339">
        <v>191069.97</v>
      </c>
      <c r="H339" t="s">
        <v>575</v>
      </c>
      <c r="I339">
        <v>2026</v>
      </c>
      <c r="J339" t="str">
        <f>_xlfn.XLOOKUP(sales[[#This Row],[Product_ID]],products[Product_ID],products[Product_Name])</f>
        <v>Tablet 15</v>
      </c>
      <c r="K339" t="str">
        <f>_xlfn.XLOOKUP(sales[[#This Row],[Store_ID]],stores[Store_ID],stores[Store_Name])</f>
        <v>Pune Store</v>
      </c>
      <c r="L339" t="str">
        <f>_xlfn.XLOOKUP(sales[[#This Row],[Customer_ID]],customers[Customer_ID],customers[Customer_Name])</f>
        <v>Ramesh_168</v>
      </c>
      <c r="M339" t="str">
        <f>IF(sales[[#This Row],[Total_Amount]]&gt;=50000,"High Sales","Low Sales")</f>
        <v>High Sales</v>
      </c>
      <c r="N339">
        <f>sales[[#This Row],[Total_Amount]]/sales[[#This Row],[Quantity]]</f>
        <v>63689.99</v>
      </c>
    </row>
    <row r="340" spans="1:14" x14ac:dyDescent="0.3">
      <c r="A340" t="s">
        <v>1084</v>
      </c>
      <c r="B340">
        <v>1060</v>
      </c>
      <c r="C340" t="s">
        <v>96</v>
      </c>
      <c r="D340" t="s">
        <v>62</v>
      </c>
      <c r="E340" t="s">
        <v>1007</v>
      </c>
      <c r="F340">
        <v>4</v>
      </c>
      <c r="G340">
        <v>181468.36</v>
      </c>
      <c r="H340" t="s">
        <v>575</v>
      </c>
      <c r="I340">
        <v>2025</v>
      </c>
      <c r="J340" t="str">
        <f>_xlfn.XLOOKUP(sales[[#This Row],[Product_ID]],products[Product_ID],products[Product_Name])</f>
        <v>Printer 13</v>
      </c>
      <c r="K340" t="str">
        <f>_xlfn.XLOOKUP(sales[[#This Row],[Store_ID]],stores[Store_ID],stores[Store_Name])</f>
        <v>Pune Store</v>
      </c>
      <c r="L340" t="str">
        <f>_xlfn.XLOOKUP(sales[[#This Row],[Customer_ID]],customers[Customer_ID],customers[Customer_Name])</f>
        <v>Ravi_60</v>
      </c>
      <c r="M340" t="str">
        <f>IF(sales[[#This Row],[Total_Amount]]&gt;=50000,"High Sales","Low Sales")</f>
        <v>High Sales</v>
      </c>
      <c r="N340">
        <f>sales[[#This Row],[Total_Amount]]/sales[[#This Row],[Quantity]]</f>
        <v>45367.09</v>
      </c>
    </row>
    <row r="341" spans="1:14" x14ac:dyDescent="0.3">
      <c r="A341" t="s">
        <v>1085</v>
      </c>
      <c r="B341">
        <v>1035</v>
      </c>
      <c r="C341" t="s">
        <v>92</v>
      </c>
      <c r="D341" t="s">
        <v>53</v>
      </c>
      <c r="E341" t="s">
        <v>1086</v>
      </c>
      <c r="F341">
        <v>5</v>
      </c>
      <c r="G341">
        <v>396350.95</v>
      </c>
      <c r="H341" t="s">
        <v>537</v>
      </c>
      <c r="I341">
        <v>2025</v>
      </c>
      <c r="J341" t="str">
        <f>_xlfn.XLOOKUP(sales[[#This Row],[Product_ID]],products[Product_ID],products[Product_Name])</f>
        <v>Smartphone 11</v>
      </c>
      <c r="K341" t="str">
        <f>_xlfn.XLOOKUP(sales[[#This Row],[Store_ID]],stores[Store_ID],stores[Store_Name])</f>
        <v>Warangal Store</v>
      </c>
      <c r="L341" t="str">
        <f>_xlfn.XLOOKUP(sales[[#This Row],[Customer_ID]],customers[Customer_ID],customers[Customer_Name])</f>
        <v>Priya_35</v>
      </c>
      <c r="M341" t="str">
        <f>IF(sales[[#This Row],[Total_Amount]]&gt;=50000,"High Sales","Low Sales")</f>
        <v>High Sales</v>
      </c>
      <c r="N341">
        <f>sales[[#This Row],[Total_Amount]]/sales[[#This Row],[Quantity]]</f>
        <v>79270.19</v>
      </c>
    </row>
    <row r="342" spans="1:14" x14ac:dyDescent="0.3">
      <c r="A342" t="s">
        <v>1087</v>
      </c>
      <c r="B342">
        <v>1102</v>
      </c>
      <c r="C342" t="s">
        <v>104</v>
      </c>
      <c r="D342" t="s">
        <v>62</v>
      </c>
      <c r="E342" t="s">
        <v>1088</v>
      </c>
      <c r="F342">
        <v>5</v>
      </c>
      <c r="G342">
        <v>387450.85</v>
      </c>
      <c r="H342" t="s">
        <v>575</v>
      </c>
      <c r="I342">
        <v>2026</v>
      </c>
      <c r="J342" t="str">
        <f>_xlfn.XLOOKUP(sales[[#This Row],[Product_ID]],products[Product_ID],products[Product_Name])</f>
        <v>Mixer 17</v>
      </c>
      <c r="K342" t="str">
        <f>_xlfn.XLOOKUP(sales[[#This Row],[Store_ID]],stores[Store_ID],stores[Store_Name])</f>
        <v>Pune Store</v>
      </c>
      <c r="L342" t="str">
        <f>_xlfn.XLOOKUP(sales[[#This Row],[Customer_ID]],customers[Customer_ID],customers[Customer_Name])</f>
        <v>Rahul_102</v>
      </c>
      <c r="M342" t="str">
        <f>IF(sales[[#This Row],[Total_Amount]]&gt;=50000,"High Sales","Low Sales")</f>
        <v>High Sales</v>
      </c>
      <c r="N342">
        <f>sales[[#This Row],[Total_Amount]]/sales[[#This Row],[Quantity]]</f>
        <v>77490.17</v>
      </c>
    </row>
    <row r="343" spans="1:14" x14ac:dyDescent="0.3">
      <c r="A343" t="s">
        <v>1089</v>
      </c>
      <c r="B343">
        <v>1197</v>
      </c>
      <c r="C343" t="s">
        <v>130</v>
      </c>
      <c r="D343" t="s">
        <v>59</v>
      </c>
      <c r="E343" t="s">
        <v>1082</v>
      </c>
      <c r="F343">
        <v>4</v>
      </c>
      <c r="G343">
        <v>92622.88</v>
      </c>
      <c r="H343" t="s">
        <v>558</v>
      </c>
      <c r="I343">
        <v>2026</v>
      </c>
      <c r="J343" t="str">
        <f>_xlfn.XLOOKUP(sales[[#This Row],[Product_ID]],products[Product_ID],products[Product_Name])</f>
        <v>Monitor 30</v>
      </c>
      <c r="K343" t="str">
        <f>_xlfn.XLOOKUP(sales[[#This Row],[Store_ID]],stores[Store_ID],stores[Store_Name])</f>
        <v>Chennai Store</v>
      </c>
      <c r="L343" t="str">
        <f>_xlfn.XLOOKUP(sales[[#This Row],[Customer_ID]],customers[Customer_ID],customers[Customer_Name])</f>
        <v>Ravi_197</v>
      </c>
      <c r="M343" t="str">
        <f>IF(sales[[#This Row],[Total_Amount]]&gt;=50000,"High Sales","Low Sales")</f>
        <v>High Sales</v>
      </c>
      <c r="N343">
        <f>sales[[#This Row],[Total_Amount]]/sales[[#This Row],[Quantity]]</f>
        <v>23155.72</v>
      </c>
    </row>
    <row r="344" spans="1:14" x14ac:dyDescent="0.3">
      <c r="A344" t="s">
        <v>1090</v>
      </c>
      <c r="B344">
        <v>1099</v>
      </c>
      <c r="C344" t="s">
        <v>106</v>
      </c>
      <c r="D344" t="s">
        <v>48</v>
      </c>
      <c r="E344" t="s">
        <v>981</v>
      </c>
      <c r="F344">
        <v>4</v>
      </c>
      <c r="G344">
        <v>189638.96</v>
      </c>
      <c r="H344" t="s">
        <v>525</v>
      </c>
      <c r="I344">
        <v>2026</v>
      </c>
      <c r="J344" t="str">
        <f>_xlfn.XLOOKUP(sales[[#This Row],[Product_ID]],products[Product_ID],products[Product_Name])</f>
        <v>Microwave 18</v>
      </c>
      <c r="K344" t="str">
        <f>_xlfn.XLOOKUP(sales[[#This Row],[Store_ID]],stores[Store_ID],stores[Store_Name])</f>
        <v>Visakhapatnam Store</v>
      </c>
      <c r="L344" t="str">
        <f>_xlfn.XLOOKUP(sales[[#This Row],[Customer_ID]],customers[Customer_ID],customers[Customer_Name])</f>
        <v>Akhil_99</v>
      </c>
      <c r="M344" t="str">
        <f>IF(sales[[#This Row],[Total_Amount]]&gt;=50000,"High Sales","Low Sales")</f>
        <v>High Sales</v>
      </c>
      <c r="N344">
        <f>sales[[#This Row],[Total_Amount]]/sales[[#This Row],[Quantity]]</f>
        <v>47409.74</v>
      </c>
    </row>
    <row r="345" spans="1:14" x14ac:dyDescent="0.3">
      <c r="A345" t="s">
        <v>1091</v>
      </c>
      <c r="B345">
        <v>1064</v>
      </c>
      <c r="C345" t="s">
        <v>69</v>
      </c>
      <c r="D345" t="s">
        <v>42</v>
      </c>
      <c r="E345" t="s">
        <v>1092</v>
      </c>
      <c r="F345">
        <v>5</v>
      </c>
      <c r="G345">
        <v>225941.3</v>
      </c>
      <c r="H345" t="s">
        <v>540</v>
      </c>
      <c r="I345">
        <v>2025</v>
      </c>
      <c r="J345" t="str">
        <f>_xlfn.XLOOKUP(sales[[#This Row],[Product_ID]],products[Product_ID],products[Product_Name])</f>
        <v>Headphones 1</v>
      </c>
      <c r="K345" t="str">
        <f>_xlfn.XLOOKUP(sales[[#This Row],[Store_ID]],stores[Store_ID],stores[Store_Name])</f>
        <v>Hyderabad Store</v>
      </c>
      <c r="L345" t="str">
        <f>_xlfn.XLOOKUP(sales[[#This Row],[Customer_ID]],customers[Customer_ID],customers[Customer_Name])</f>
        <v>Anjali_64</v>
      </c>
      <c r="M345" t="str">
        <f>IF(sales[[#This Row],[Total_Amount]]&gt;=50000,"High Sales","Low Sales")</f>
        <v>High Sales</v>
      </c>
      <c r="N345">
        <f>sales[[#This Row],[Total_Amount]]/sales[[#This Row],[Quantity]]</f>
        <v>45188.259999999995</v>
      </c>
    </row>
    <row r="346" spans="1:14" x14ac:dyDescent="0.3">
      <c r="A346" t="s">
        <v>1093</v>
      </c>
      <c r="B346">
        <v>1171</v>
      </c>
      <c r="C346" t="s">
        <v>124</v>
      </c>
      <c r="D346" t="s">
        <v>59</v>
      </c>
      <c r="E346" t="s">
        <v>875</v>
      </c>
      <c r="F346">
        <v>2</v>
      </c>
      <c r="G346">
        <v>5394.92</v>
      </c>
      <c r="H346" t="s">
        <v>540</v>
      </c>
      <c r="I346">
        <v>2025</v>
      </c>
      <c r="J346" t="str">
        <f>_xlfn.XLOOKUP(sales[[#This Row],[Product_ID]],products[Product_ID],products[Product_Name])</f>
        <v>Mixer 27</v>
      </c>
      <c r="K346" t="str">
        <f>_xlfn.XLOOKUP(sales[[#This Row],[Store_ID]],stores[Store_ID],stores[Store_Name])</f>
        <v>Chennai Store</v>
      </c>
      <c r="L346" t="str">
        <f>_xlfn.XLOOKUP(sales[[#This Row],[Customer_ID]],customers[Customer_ID],customers[Customer_Name])</f>
        <v>Priya_171</v>
      </c>
      <c r="M346" t="str">
        <f>IF(sales[[#This Row],[Total_Amount]]&gt;=50000,"High Sales","Low Sales")</f>
        <v>Low Sales</v>
      </c>
      <c r="N346">
        <f>sales[[#This Row],[Total_Amount]]/sales[[#This Row],[Quantity]]</f>
        <v>2697.46</v>
      </c>
    </row>
    <row r="347" spans="1:14" x14ac:dyDescent="0.3">
      <c r="A347" t="s">
        <v>1094</v>
      </c>
      <c r="B347">
        <v>1114</v>
      </c>
      <c r="C347" t="s">
        <v>106</v>
      </c>
      <c r="D347" t="s">
        <v>57</v>
      </c>
      <c r="E347" t="s">
        <v>574</v>
      </c>
      <c r="F347">
        <v>1</v>
      </c>
      <c r="G347">
        <v>74966.14</v>
      </c>
      <c r="H347" t="s">
        <v>575</v>
      </c>
      <c r="I347">
        <v>2026</v>
      </c>
      <c r="J347" t="str">
        <f>_xlfn.XLOOKUP(sales[[#This Row],[Product_ID]],products[Product_ID],products[Product_Name])</f>
        <v>Microwave 18</v>
      </c>
      <c r="K347" t="str">
        <f>_xlfn.XLOOKUP(sales[[#This Row],[Store_ID]],stores[Store_ID],stores[Store_Name])</f>
        <v>Bengaluru Store</v>
      </c>
      <c r="L347" t="str">
        <f>_xlfn.XLOOKUP(sales[[#This Row],[Customer_ID]],customers[Customer_ID],customers[Customer_Name])</f>
        <v>Priya_114</v>
      </c>
      <c r="M347" t="str">
        <f>IF(sales[[#This Row],[Total_Amount]]&gt;=50000,"High Sales","Low Sales")</f>
        <v>High Sales</v>
      </c>
      <c r="N347">
        <f>sales[[#This Row],[Total_Amount]]/sales[[#This Row],[Quantity]]</f>
        <v>74966.14</v>
      </c>
    </row>
    <row r="348" spans="1:14" x14ac:dyDescent="0.3">
      <c r="A348" t="s">
        <v>1095</v>
      </c>
      <c r="B348">
        <v>1082</v>
      </c>
      <c r="C348" t="s">
        <v>130</v>
      </c>
      <c r="D348" t="s">
        <v>53</v>
      </c>
      <c r="E348" t="s">
        <v>1096</v>
      </c>
      <c r="F348">
        <v>2</v>
      </c>
      <c r="G348">
        <v>80923.64</v>
      </c>
      <c r="H348" t="s">
        <v>545</v>
      </c>
      <c r="I348">
        <v>2025</v>
      </c>
      <c r="J348" t="str">
        <f>_xlfn.XLOOKUP(sales[[#This Row],[Product_ID]],products[Product_ID],products[Product_Name])</f>
        <v>Monitor 30</v>
      </c>
      <c r="K348" t="str">
        <f>_xlfn.XLOOKUP(sales[[#This Row],[Store_ID]],stores[Store_ID],stores[Store_Name])</f>
        <v>Warangal Store</v>
      </c>
      <c r="L348" t="str">
        <f>_xlfn.XLOOKUP(sales[[#This Row],[Customer_ID]],customers[Customer_ID],customers[Customer_Name])</f>
        <v>Keerthi_82</v>
      </c>
      <c r="M348" t="str">
        <f>IF(sales[[#This Row],[Total_Amount]]&gt;=50000,"High Sales","Low Sales")</f>
        <v>High Sales</v>
      </c>
      <c r="N348">
        <f>sales[[#This Row],[Total_Amount]]/sales[[#This Row],[Quantity]]</f>
        <v>40461.82</v>
      </c>
    </row>
    <row r="349" spans="1:14" x14ac:dyDescent="0.3">
      <c r="A349" t="s">
        <v>1097</v>
      </c>
      <c r="B349">
        <v>1148</v>
      </c>
      <c r="C349" t="s">
        <v>98</v>
      </c>
      <c r="D349" t="s">
        <v>53</v>
      </c>
      <c r="E349" t="s">
        <v>536</v>
      </c>
      <c r="F349">
        <v>5</v>
      </c>
      <c r="G349">
        <v>23788.7</v>
      </c>
      <c r="H349" t="s">
        <v>537</v>
      </c>
      <c r="I349">
        <v>2025</v>
      </c>
      <c r="J349" t="str">
        <f>_xlfn.XLOOKUP(sales[[#This Row],[Product_ID]],products[Product_ID],products[Product_Name])</f>
        <v>Camera 14</v>
      </c>
      <c r="K349" t="str">
        <f>_xlfn.XLOOKUP(sales[[#This Row],[Store_ID]],stores[Store_ID],stores[Store_Name])</f>
        <v>Warangal Store</v>
      </c>
      <c r="L349" t="str">
        <f>_xlfn.XLOOKUP(sales[[#This Row],[Customer_ID]],customers[Customer_ID],customers[Customer_Name])</f>
        <v>Priya_148</v>
      </c>
      <c r="M349" t="str">
        <f>IF(sales[[#This Row],[Total_Amount]]&gt;=50000,"High Sales","Low Sales")</f>
        <v>Low Sales</v>
      </c>
      <c r="N349">
        <f>sales[[#This Row],[Total_Amount]]/sales[[#This Row],[Quantity]]</f>
        <v>4757.74</v>
      </c>
    </row>
    <row r="350" spans="1:14" x14ac:dyDescent="0.3">
      <c r="A350" t="s">
        <v>1098</v>
      </c>
      <c r="B350">
        <v>1067</v>
      </c>
      <c r="C350" t="s">
        <v>114</v>
      </c>
      <c r="D350" t="s">
        <v>48</v>
      </c>
      <c r="E350" t="s">
        <v>1099</v>
      </c>
      <c r="F350">
        <v>1</v>
      </c>
      <c r="G350">
        <v>33685.360000000001</v>
      </c>
      <c r="H350" t="s">
        <v>528</v>
      </c>
      <c r="I350">
        <v>2025</v>
      </c>
      <c r="J350" t="str">
        <f>_xlfn.XLOOKUP(sales[[#This Row],[Product_ID]],products[Product_ID],products[Product_Name])</f>
        <v>Mixer 22</v>
      </c>
      <c r="K350" t="str">
        <f>_xlfn.XLOOKUP(sales[[#This Row],[Store_ID]],stores[Store_ID],stores[Store_Name])</f>
        <v>Visakhapatnam Store</v>
      </c>
      <c r="L350" t="str">
        <f>_xlfn.XLOOKUP(sales[[#This Row],[Customer_ID]],customers[Customer_ID],customers[Customer_Name])</f>
        <v>Ramesh_67</v>
      </c>
      <c r="M350" t="str">
        <f>IF(sales[[#This Row],[Total_Amount]]&gt;=50000,"High Sales","Low Sales")</f>
        <v>Low Sales</v>
      </c>
      <c r="N350">
        <f>sales[[#This Row],[Total_Amount]]/sales[[#This Row],[Quantity]]</f>
        <v>33685.360000000001</v>
      </c>
    </row>
    <row r="351" spans="1:14" x14ac:dyDescent="0.3">
      <c r="A351" t="s">
        <v>1100</v>
      </c>
      <c r="B351">
        <v>1118</v>
      </c>
      <c r="C351" t="s">
        <v>79</v>
      </c>
      <c r="D351" t="s">
        <v>62</v>
      </c>
      <c r="E351" t="s">
        <v>494</v>
      </c>
      <c r="F351">
        <v>1</v>
      </c>
      <c r="G351">
        <v>100602.54</v>
      </c>
      <c r="H351" t="s">
        <v>572</v>
      </c>
      <c r="I351">
        <v>2025</v>
      </c>
      <c r="J351" t="str">
        <f>_xlfn.XLOOKUP(sales[[#This Row],[Product_ID]],products[Product_ID],products[Product_Name])</f>
        <v>Smartphone 5</v>
      </c>
      <c r="K351" t="str">
        <f>_xlfn.XLOOKUP(sales[[#This Row],[Store_ID]],stores[Store_ID],stores[Store_Name])</f>
        <v>Pune Store</v>
      </c>
      <c r="L351" t="str">
        <f>_xlfn.XLOOKUP(sales[[#This Row],[Customer_ID]],customers[Customer_ID],customers[Customer_Name])</f>
        <v>Ravi_118</v>
      </c>
      <c r="M351" t="str">
        <f>IF(sales[[#This Row],[Total_Amount]]&gt;=50000,"High Sales","Low Sales")</f>
        <v>High Sales</v>
      </c>
      <c r="N351">
        <f>sales[[#This Row],[Total_Amount]]/sales[[#This Row],[Quantity]]</f>
        <v>100602.54</v>
      </c>
    </row>
    <row r="352" spans="1:14" x14ac:dyDescent="0.3">
      <c r="A352" t="s">
        <v>1101</v>
      </c>
      <c r="B352">
        <v>1005</v>
      </c>
      <c r="C352" t="s">
        <v>100</v>
      </c>
      <c r="D352" t="s">
        <v>48</v>
      </c>
      <c r="E352" t="s">
        <v>496</v>
      </c>
      <c r="F352">
        <v>4</v>
      </c>
      <c r="G352">
        <v>470154.72</v>
      </c>
      <c r="H352" t="s">
        <v>531</v>
      </c>
      <c r="I352">
        <v>2025</v>
      </c>
      <c r="J352" t="str">
        <f>_xlfn.XLOOKUP(sales[[#This Row],[Product_ID]],products[Product_ID],products[Product_Name])</f>
        <v>Tablet 15</v>
      </c>
      <c r="K352" t="str">
        <f>_xlfn.XLOOKUP(sales[[#This Row],[Store_ID]],stores[Store_ID],stores[Store_Name])</f>
        <v>Visakhapatnam Store</v>
      </c>
      <c r="L352" t="str">
        <f>_xlfn.XLOOKUP(sales[[#This Row],[Customer_ID]],customers[Customer_ID],customers[Customer_Name])</f>
        <v>Rahul_5</v>
      </c>
      <c r="M352" t="str">
        <f>IF(sales[[#This Row],[Total_Amount]]&gt;=50000,"High Sales","Low Sales")</f>
        <v>High Sales</v>
      </c>
      <c r="N352">
        <f>sales[[#This Row],[Total_Amount]]/sales[[#This Row],[Quantity]]</f>
        <v>117538.68</v>
      </c>
    </row>
    <row r="353" spans="1:14" x14ac:dyDescent="0.3">
      <c r="A353" t="s">
        <v>1102</v>
      </c>
      <c r="B353">
        <v>1139</v>
      </c>
      <c r="C353" t="s">
        <v>104</v>
      </c>
      <c r="D353" t="s">
        <v>62</v>
      </c>
      <c r="E353" t="s">
        <v>1103</v>
      </c>
      <c r="F353">
        <v>5</v>
      </c>
      <c r="G353">
        <v>263817</v>
      </c>
      <c r="H353" t="s">
        <v>545</v>
      </c>
      <c r="I353">
        <v>2025</v>
      </c>
      <c r="J353" t="str">
        <f>_xlfn.XLOOKUP(sales[[#This Row],[Product_ID]],products[Product_ID],products[Product_Name])</f>
        <v>Mixer 17</v>
      </c>
      <c r="K353" t="str">
        <f>_xlfn.XLOOKUP(sales[[#This Row],[Store_ID]],stores[Store_ID],stores[Store_Name])</f>
        <v>Pune Store</v>
      </c>
      <c r="L353" t="str">
        <f>_xlfn.XLOOKUP(sales[[#This Row],[Customer_ID]],customers[Customer_ID],customers[Customer_Name])</f>
        <v>Nikhil_139</v>
      </c>
      <c r="M353" t="str">
        <f>IF(sales[[#This Row],[Total_Amount]]&gt;=50000,"High Sales","Low Sales")</f>
        <v>High Sales</v>
      </c>
      <c r="N353">
        <f>sales[[#This Row],[Total_Amount]]/sales[[#This Row],[Quantity]]</f>
        <v>52763.4</v>
      </c>
    </row>
    <row r="354" spans="1:14" x14ac:dyDescent="0.3">
      <c r="A354" t="s">
        <v>1104</v>
      </c>
      <c r="B354">
        <v>1022</v>
      </c>
      <c r="C354" t="s">
        <v>94</v>
      </c>
      <c r="D354" t="s">
        <v>53</v>
      </c>
      <c r="E354" t="s">
        <v>139</v>
      </c>
      <c r="F354">
        <v>4</v>
      </c>
      <c r="G354">
        <v>479430.32</v>
      </c>
      <c r="H354" t="s">
        <v>545</v>
      </c>
      <c r="I354">
        <v>2025</v>
      </c>
      <c r="J354" t="str">
        <f>_xlfn.XLOOKUP(sales[[#This Row],[Product_ID]],products[Product_ID],products[Product_Name])</f>
        <v>Mouse 12</v>
      </c>
      <c r="K354" t="str">
        <f>_xlfn.XLOOKUP(sales[[#This Row],[Store_ID]],stores[Store_ID],stores[Store_Name])</f>
        <v>Warangal Store</v>
      </c>
      <c r="L354" t="str">
        <f>_xlfn.XLOOKUP(sales[[#This Row],[Customer_ID]],customers[Customer_ID],customers[Customer_Name])</f>
        <v>Priya_22</v>
      </c>
      <c r="M354" t="str">
        <f>IF(sales[[#This Row],[Total_Amount]]&gt;=50000,"High Sales","Low Sales")</f>
        <v>High Sales</v>
      </c>
      <c r="N354">
        <f>sales[[#This Row],[Total_Amount]]/sales[[#This Row],[Quantity]]</f>
        <v>119857.58</v>
      </c>
    </row>
    <row r="355" spans="1:14" x14ac:dyDescent="0.3">
      <c r="A355" t="s">
        <v>1105</v>
      </c>
      <c r="B355">
        <v>1062</v>
      </c>
      <c r="C355" t="s">
        <v>72</v>
      </c>
      <c r="D355" t="s">
        <v>50</v>
      </c>
      <c r="E355" t="s">
        <v>1106</v>
      </c>
      <c r="F355">
        <v>5</v>
      </c>
      <c r="G355">
        <v>493228.05</v>
      </c>
      <c r="H355" t="s">
        <v>531</v>
      </c>
      <c r="I355">
        <v>2025</v>
      </c>
      <c r="J355" t="str">
        <f>_xlfn.XLOOKUP(sales[[#This Row],[Product_ID]],products[Product_ID],products[Product_Name])</f>
        <v>Headphones 2</v>
      </c>
      <c r="K355" t="str">
        <f>_xlfn.XLOOKUP(sales[[#This Row],[Store_ID]],stores[Store_ID],stores[Store_Name])</f>
        <v>Guntur Store</v>
      </c>
      <c r="L355" t="str">
        <f>_xlfn.XLOOKUP(sales[[#This Row],[Customer_ID]],customers[Customer_ID],customers[Customer_Name])</f>
        <v>Rahul_62</v>
      </c>
      <c r="M355" t="str">
        <f>IF(sales[[#This Row],[Total_Amount]]&gt;=50000,"High Sales","Low Sales")</f>
        <v>High Sales</v>
      </c>
      <c r="N355">
        <f>sales[[#This Row],[Total_Amount]]/sales[[#This Row],[Quantity]]</f>
        <v>98645.61</v>
      </c>
    </row>
    <row r="356" spans="1:14" x14ac:dyDescent="0.3">
      <c r="A356" t="s">
        <v>1107</v>
      </c>
      <c r="B356">
        <v>1030</v>
      </c>
      <c r="C356" t="s">
        <v>86</v>
      </c>
      <c r="D356" t="s">
        <v>57</v>
      </c>
      <c r="E356" t="s">
        <v>687</v>
      </c>
      <c r="F356">
        <v>5</v>
      </c>
      <c r="G356">
        <v>476505.5</v>
      </c>
      <c r="H356" t="s">
        <v>540</v>
      </c>
      <c r="I356">
        <v>2025</v>
      </c>
      <c r="J356" t="str">
        <f>_xlfn.XLOOKUP(sales[[#This Row],[Product_ID]],products[Product_ID],products[Product_Name])</f>
        <v>Laptop 8</v>
      </c>
      <c r="K356" t="str">
        <f>_xlfn.XLOOKUP(sales[[#This Row],[Store_ID]],stores[Store_ID],stores[Store_Name])</f>
        <v>Bengaluru Store</v>
      </c>
      <c r="L356" t="str">
        <f>_xlfn.XLOOKUP(sales[[#This Row],[Customer_ID]],customers[Customer_ID],customers[Customer_Name])</f>
        <v>Ramesh_30</v>
      </c>
      <c r="M356" t="str">
        <f>IF(sales[[#This Row],[Total_Amount]]&gt;=50000,"High Sales","Low Sales")</f>
        <v>High Sales</v>
      </c>
      <c r="N356">
        <f>sales[[#This Row],[Total_Amount]]/sales[[#This Row],[Quantity]]</f>
        <v>95301.1</v>
      </c>
    </row>
    <row r="357" spans="1:14" x14ac:dyDescent="0.3">
      <c r="A357" t="s">
        <v>1108</v>
      </c>
      <c r="B357">
        <v>1027</v>
      </c>
      <c r="C357" t="s">
        <v>86</v>
      </c>
      <c r="D357" t="s">
        <v>62</v>
      </c>
      <c r="E357" t="s">
        <v>610</v>
      </c>
      <c r="F357">
        <v>3</v>
      </c>
      <c r="G357">
        <v>251891.52</v>
      </c>
      <c r="H357" t="s">
        <v>525</v>
      </c>
      <c r="I357">
        <v>2026</v>
      </c>
      <c r="J357" t="str">
        <f>_xlfn.XLOOKUP(sales[[#This Row],[Product_ID]],products[Product_ID],products[Product_Name])</f>
        <v>Laptop 8</v>
      </c>
      <c r="K357" t="str">
        <f>_xlfn.XLOOKUP(sales[[#This Row],[Store_ID]],stores[Store_ID],stores[Store_Name])</f>
        <v>Pune Store</v>
      </c>
      <c r="L357" t="str">
        <f>_xlfn.XLOOKUP(sales[[#This Row],[Customer_ID]],customers[Customer_ID],customers[Customer_Name])</f>
        <v>Sita_27</v>
      </c>
      <c r="M357" t="str">
        <f>IF(sales[[#This Row],[Total_Amount]]&gt;=50000,"High Sales","Low Sales")</f>
        <v>High Sales</v>
      </c>
      <c r="N357">
        <f>sales[[#This Row],[Total_Amount]]/sales[[#This Row],[Quantity]]</f>
        <v>83963.839999999997</v>
      </c>
    </row>
    <row r="358" spans="1:14" x14ac:dyDescent="0.3">
      <c r="A358" t="s">
        <v>1109</v>
      </c>
      <c r="B358">
        <v>1015</v>
      </c>
      <c r="C358" t="s">
        <v>102</v>
      </c>
      <c r="D358" t="s">
        <v>57</v>
      </c>
      <c r="E358" t="s">
        <v>1110</v>
      </c>
      <c r="F358">
        <v>3</v>
      </c>
      <c r="G358">
        <v>137681.67000000001</v>
      </c>
      <c r="H358" t="s">
        <v>537</v>
      </c>
      <c r="I358">
        <v>2026</v>
      </c>
      <c r="J358" t="str">
        <f>_xlfn.XLOOKUP(sales[[#This Row],[Product_ID]],products[Product_ID],products[Product_Name])</f>
        <v>Power Bank 16</v>
      </c>
      <c r="K358" t="str">
        <f>_xlfn.XLOOKUP(sales[[#This Row],[Store_ID]],stores[Store_ID],stores[Store_Name])</f>
        <v>Bengaluru Store</v>
      </c>
      <c r="L358" t="str">
        <f>_xlfn.XLOOKUP(sales[[#This Row],[Customer_ID]],customers[Customer_ID],customers[Customer_Name])</f>
        <v>Keerthi_15</v>
      </c>
      <c r="M358" t="str">
        <f>IF(sales[[#This Row],[Total_Amount]]&gt;=50000,"High Sales","Low Sales")</f>
        <v>High Sales</v>
      </c>
      <c r="N358">
        <f>sales[[#This Row],[Total_Amount]]/sales[[#This Row],[Quantity]]</f>
        <v>45893.890000000007</v>
      </c>
    </row>
    <row r="359" spans="1:14" x14ac:dyDescent="0.3">
      <c r="A359" t="s">
        <v>1111</v>
      </c>
      <c r="B359">
        <v>1084</v>
      </c>
      <c r="C359" t="s">
        <v>77</v>
      </c>
      <c r="D359" t="s">
        <v>57</v>
      </c>
      <c r="E359" t="s">
        <v>1014</v>
      </c>
      <c r="F359">
        <v>4</v>
      </c>
      <c r="G359">
        <v>70946.320000000007</v>
      </c>
      <c r="H359" t="s">
        <v>558</v>
      </c>
      <c r="I359">
        <v>2026</v>
      </c>
      <c r="J359" t="str">
        <f>_xlfn.XLOOKUP(sales[[#This Row],[Product_ID]],products[Product_ID],products[Product_Name])</f>
        <v>Monitor 4</v>
      </c>
      <c r="K359" t="str">
        <f>_xlfn.XLOOKUP(sales[[#This Row],[Store_ID]],stores[Store_ID],stores[Store_Name])</f>
        <v>Bengaluru Store</v>
      </c>
      <c r="L359" t="str">
        <f>_xlfn.XLOOKUP(sales[[#This Row],[Customer_ID]],customers[Customer_ID],customers[Customer_Name])</f>
        <v>Vikram_84</v>
      </c>
      <c r="M359" t="str">
        <f>IF(sales[[#This Row],[Total_Amount]]&gt;=50000,"High Sales","Low Sales")</f>
        <v>High Sales</v>
      </c>
      <c r="N359">
        <f>sales[[#This Row],[Total_Amount]]/sales[[#This Row],[Quantity]]</f>
        <v>17736.580000000002</v>
      </c>
    </row>
    <row r="360" spans="1:14" x14ac:dyDescent="0.3">
      <c r="A360" t="s">
        <v>1112</v>
      </c>
      <c r="B360">
        <v>1038</v>
      </c>
      <c r="C360" t="s">
        <v>102</v>
      </c>
      <c r="D360" t="s">
        <v>42</v>
      </c>
      <c r="E360" t="s">
        <v>1019</v>
      </c>
      <c r="F360">
        <v>4</v>
      </c>
      <c r="G360">
        <v>365842.76</v>
      </c>
      <c r="H360" t="s">
        <v>537</v>
      </c>
      <c r="I360">
        <v>2026</v>
      </c>
      <c r="J360" t="str">
        <f>_xlfn.XLOOKUP(sales[[#This Row],[Product_ID]],products[Product_ID],products[Product_Name])</f>
        <v>Power Bank 16</v>
      </c>
      <c r="K360" t="str">
        <f>_xlfn.XLOOKUP(sales[[#This Row],[Store_ID]],stores[Store_ID],stores[Store_Name])</f>
        <v>Hyderabad Store</v>
      </c>
      <c r="L360" t="str">
        <f>_xlfn.XLOOKUP(sales[[#This Row],[Customer_ID]],customers[Customer_ID],customers[Customer_Name])</f>
        <v>Rahul_38</v>
      </c>
      <c r="M360" t="str">
        <f>IF(sales[[#This Row],[Total_Amount]]&gt;=50000,"High Sales","Low Sales")</f>
        <v>High Sales</v>
      </c>
      <c r="N360">
        <f>sales[[#This Row],[Total_Amount]]/sales[[#This Row],[Quantity]]</f>
        <v>91460.69</v>
      </c>
    </row>
    <row r="361" spans="1:14" x14ac:dyDescent="0.3">
      <c r="A361" t="s">
        <v>1113</v>
      </c>
      <c r="B361">
        <v>1040</v>
      </c>
      <c r="C361" t="s">
        <v>104</v>
      </c>
      <c r="D361" t="s">
        <v>62</v>
      </c>
      <c r="E361" t="s">
        <v>421</v>
      </c>
      <c r="F361">
        <v>4</v>
      </c>
      <c r="G361">
        <v>170530.64</v>
      </c>
      <c r="H361" t="s">
        <v>561</v>
      </c>
      <c r="I361">
        <v>2025</v>
      </c>
      <c r="J361" t="str">
        <f>_xlfn.XLOOKUP(sales[[#This Row],[Product_ID]],products[Product_ID],products[Product_Name])</f>
        <v>Mixer 17</v>
      </c>
      <c r="K361" t="str">
        <f>_xlfn.XLOOKUP(sales[[#This Row],[Store_ID]],stores[Store_ID],stores[Store_Name])</f>
        <v>Pune Store</v>
      </c>
      <c r="L361" t="str">
        <f>_xlfn.XLOOKUP(sales[[#This Row],[Customer_ID]],customers[Customer_ID],customers[Customer_Name])</f>
        <v>Sneha_40</v>
      </c>
      <c r="M361" t="str">
        <f>IF(sales[[#This Row],[Total_Amount]]&gt;=50000,"High Sales","Low Sales")</f>
        <v>High Sales</v>
      </c>
      <c r="N361">
        <f>sales[[#This Row],[Total_Amount]]/sales[[#This Row],[Quantity]]</f>
        <v>42632.66</v>
      </c>
    </row>
    <row r="362" spans="1:14" x14ac:dyDescent="0.3">
      <c r="A362" t="s">
        <v>1114</v>
      </c>
      <c r="B362">
        <v>1137</v>
      </c>
      <c r="C362" t="s">
        <v>84</v>
      </c>
      <c r="D362" t="s">
        <v>62</v>
      </c>
      <c r="E362" t="s">
        <v>1115</v>
      </c>
      <c r="F362">
        <v>5</v>
      </c>
      <c r="G362">
        <v>53621.4</v>
      </c>
      <c r="H362" t="s">
        <v>572</v>
      </c>
      <c r="I362">
        <v>2025</v>
      </c>
      <c r="J362" t="str">
        <f>_xlfn.XLOOKUP(sales[[#This Row],[Product_ID]],products[Product_ID],products[Product_Name])</f>
        <v>Headphones 7</v>
      </c>
      <c r="K362" t="str">
        <f>_xlfn.XLOOKUP(sales[[#This Row],[Store_ID]],stores[Store_ID],stores[Store_Name])</f>
        <v>Pune Store</v>
      </c>
      <c r="L362" t="str">
        <f>_xlfn.XLOOKUP(sales[[#This Row],[Customer_ID]],customers[Customer_ID],customers[Customer_Name])</f>
        <v>Nikhil_137</v>
      </c>
      <c r="M362" t="str">
        <f>IF(sales[[#This Row],[Total_Amount]]&gt;=50000,"High Sales","Low Sales")</f>
        <v>High Sales</v>
      </c>
      <c r="N362">
        <f>sales[[#This Row],[Total_Amount]]/sales[[#This Row],[Quantity]]</f>
        <v>10724.28</v>
      </c>
    </row>
    <row r="363" spans="1:14" x14ac:dyDescent="0.3">
      <c r="A363" t="s">
        <v>1116</v>
      </c>
      <c r="B363">
        <v>1037</v>
      </c>
      <c r="C363" t="s">
        <v>79</v>
      </c>
      <c r="D363" t="s">
        <v>50</v>
      </c>
      <c r="E363" t="s">
        <v>1117</v>
      </c>
      <c r="F363">
        <v>3</v>
      </c>
      <c r="G363">
        <v>294807.65999999997</v>
      </c>
      <c r="H363" t="s">
        <v>522</v>
      </c>
      <c r="I363">
        <v>2025</v>
      </c>
      <c r="J363" t="str">
        <f>_xlfn.XLOOKUP(sales[[#This Row],[Product_ID]],products[Product_ID],products[Product_Name])</f>
        <v>Smartphone 5</v>
      </c>
      <c r="K363" t="str">
        <f>_xlfn.XLOOKUP(sales[[#This Row],[Store_ID]],stores[Store_ID],stores[Store_Name])</f>
        <v>Guntur Store</v>
      </c>
      <c r="L363" t="str">
        <f>_xlfn.XLOOKUP(sales[[#This Row],[Customer_ID]],customers[Customer_ID],customers[Customer_Name])</f>
        <v>Akhil_37</v>
      </c>
      <c r="M363" t="str">
        <f>IF(sales[[#This Row],[Total_Amount]]&gt;=50000,"High Sales","Low Sales")</f>
        <v>High Sales</v>
      </c>
      <c r="N363">
        <f>sales[[#This Row],[Total_Amount]]/sales[[#This Row],[Quantity]]</f>
        <v>98269.219999999987</v>
      </c>
    </row>
    <row r="364" spans="1:14" x14ac:dyDescent="0.3">
      <c r="A364" t="s">
        <v>1118</v>
      </c>
      <c r="B364">
        <v>1040</v>
      </c>
      <c r="C364" t="s">
        <v>106</v>
      </c>
      <c r="D364" t="s">
        <v>53</v>
      </c>
      <c r="E364" t="s">
        <v>278</v>
      </c>
      <c r="F364">
        <v>3</v>
      </c>
      <c r="G364">
        <v>49784.22</v>
      </c>
      <c r="H364" t="s">
        <v>558</v>
      </c>
      <c r="I364">
        <v>2025</v>
      </c>
      <c r="J364" t="str">
        <f>_xlfn.XLOOKUP(sales[[#This Row],[Product_ID]],products[Product_ID],products[Product_Name])</f>
        <v>Microwave 18</v>
      </c>
      <c r="K364" t="str">
        <f>_xlfn.XLOOKUP(sales[[#This Row],[Store_ID]],stores[Store_ID],stores[Store_Name])</f>
        <v>Warangal Store</v>
      </c>
      <c r="L364" t="str">
        <f>_xlfn.XLOOKUP(sales[[#This Row],[Customer_ID]],customers[Customer_ID],customers[Customer_Name])</f>
        <v>Sneha_40</v>
      </c>
      <c r="M364" t="str">
        <f>IF(sales[[#This Row],[Total_Amount]]&gt;=50000,"High Sales","Low Sales")</f>
        <v>Low Sales</v>
      </c>
      <c r="N364">
        <f>sales[[#This Row],[Total_Amount]]/sales[[#This Row],[Quantity]]</f>
        <v>16594.740000000002</v>
      </c>
    </row>
    <row r="365" spans="1:14" x14ac:dyDescent="0.3">
      <c r="A365" t="s">
        <v>1119</v>
      </c>
      <c r="B365">
        <v>1181</v>
      </c>
      <c r="C365" t="s">
        <v>69</v>
      </c>
      <c r="D365" t="s">
        <v>48</v>
      </c>
      <c r="E365" t="s">
        <v>719</v>
      </c>
      <c r="F365">
        <v>5</v>
      </c>
      <c r="G365">
        <v>276943</v>
      </c>
      <c r="H365" t="s">
        <v>540</v>
      </c>
      <c r="I365">
        <v>2025</v>
      </c>
      <c r="J365" t="str">
        <f>_xlfn.XLOOKUP(sales[[#This Row],[Product_ID]],products[Product_ID],products[Product_Name])</f>
        <v>Headphones 1</v>
      </c>
      <c r="K365" t="str">
        <f>_xlfn.XLOOKUP(sales[[#This Row],[Store_ID]],stores[Store_ID],stores[Store_Name])</f>
        <v>Visakhapatnam Store</v>
      </c>
      <c r="L365" t="str">
        <f>_xlfn.XLOOKUP(sales[[#This Row],[Customer_ID]],customers[Customer_ID],customers[Customer_Name])</f>
        <v>Arjun_181</v>
      </c>
      <c r="M365" t="str">
        <f>IF(sales[[#This Row],[Total_Amount]]&gt;=50000,"High Sales","Low Sales")</f>
        <v>High Sales</v>
      </c>
      <c r="N365">
        <f>sales[[#This Row],[Total_Amount]]/sales[[#This Row],[Quantity]]</f>
        <v>55388.6</v>
      </c>
    </row>
    <row r="366" spans="1:14" x14ac:dyDescent="0.3">
      <c r="A366" t="s">
        <v>1120</v>
      </c>
      <c r="B366">
        <v>1089</v>
      </c>
      <c r="C366" t="s">
        <v>116</v>
      </c>
      <c r="D366" t="s">
        <v>50</v>
      </c>
      <c r="E366" t="s">
        <v>962</v>
      </c>
      <c r="F366">
        <v>1</v>
      </c>
      <c r="G366">
        <v>97604.33</v>
      </c>
      <c r="H366" t="s">
        <v>561</v>
      </c>
      <c r="I366">
        <v>2025</v>
      </c>
      <c r="J366" t="str">
        <f>_xlfn.XLOOKUP(sales[[#This Row],[Product_ID]],products[Product_ID],products[Product_Name])</f>
        <v>Microwave 23</v>
      </c>
      <c r="K366" t="str">
        <f>_xlfn.XLOOKUP(sales[[#This Row],[Store_ID]],stores[Store_ID],stores[Store_Name])</f>
        <v>Guntur Store</v>
      </c>
      <c r="L366" t="str">
        <f>_xlfn.XLOOKUP(sales[[#This Row],[Customer_ID]],customers[Customer_ID],customers[Customer_Name])</f>
        <v>Akhil_89</v>
      </c>
      <c r="M366" t="str">
        <f>IF(sales[[#This Row],[Total_Amount]]&gt;=50000,"High Sales","Low Sales")</f>
        <v>High Sales</v>
      </c>
      <c r="N366">
        <f>sales[[#This Row],[Total_Amount]]/sales[[#This Row],[Quantity]]</f>
        <v>97604.33</v>
      </c>
    </row>
    <row r="367" spans="1:14" x14ac:dyDescent="0.3">
      <c r="A367" t="s">
        <v>1121</v>
      </c>
      <c r="B367">
        <v>1105</v>
      </c>
      <c r="C367" t="s">
        <v>79</v>
      </c>
      <c r="D367" t="s">
        <v>57</v>
      </c>
      <c r="E367" t="s">
        <v>1122</v>
      </c>
      <c r="F367">
        <v>5</v>
      </c>
      <c r="G367">
        <v>159051.70000000001</v>
      </c>
      <c r="H367" t="s">
        <v>561</v>
      </c>
      <c r="I367">
        <v>2025</v>
      </c>
      <c r="J367" t="str">
        <f>_xlfn.XLOOKUP(sales[[#This Row],[Product_ID]],products[Product_ID],products[Product_Name])</f>
        <v>Smartphone 5</v>
      </c>
      <c r="K367" t="str">
        <f>_xlfn.XLOOKUP(sales[[#This Row],[Store_ID]],stores[Store_ID],stores[Store_Name])</f>
        <v>Bengaluru Store</v>
      </c>
      <c r="L367" t="str">
        <f>_xlfn.XLOOKUP(sales[[#This Row],[Customer_ID]],customers[Customer_ID],customers[Customer_Name])</f>
        <v>Divya_105</v>
      </c>
      <c r="M367" t="str">
        <f>IF(sales[[#This Row],[Total_Amount]]&gt;=50000,"High Sales","Low Sales")</f>
        <v>High Sales</v>
      </c>
      <c r="N367">
        <f>sales[[#This Row],[Total_Amount]]/sales[[#This Row],[Quantity]]</f>
        <v>31810.340000000004</v>
      </c>
    </row>
    <row r="368" spans="1:14" x14ac:dyDescent="0.3">
      <c r="A368" t="s">
        <v>1123</v>
      </c>
      <c r="B368">
        <v>1108</v>
      </c>
      <c r="C368" t="s">
        <v>86</v>
      </c>
      <c r="D368" t="s">
        <v>53</v>
      </c>
      <c r="E368" t="s">
        <v>1124</v>
      </c>
      <c r="F368">
        <v>5</v>
      </c>
      <c r="G368">
        <v>498637.45</v>
      </c>
      <c r="H368" t="s">
        <v>522</v>
      </c>
      <c r="I368">
        <v>2025</v>
      </c>
      <c r="J368" t="str">
        <f>_xlfn.XLOOKUP(sales[[#This Row],[Product_ID]],products[Product_ID],products[Product_Name])</f>
        <v>Laptop 8</v>
      </c>
      <c r="K368" t="str">
        <f>_xlfn.XLOOKUP(sales[[#This Row],[Store_ID]],stores[Store_ID],stores[Store_Name])</f>
        <v>Warangal Store</v>
      </c>
      <c r="L368" t="str">
        <f>_xlfn.XLOOKUP(sales[[#This Row],[Customer_ID]],customers[Customer_ID],customers[Customer_Name])</f>
        <v>Priya_108</v>
      </c>
      <c r="M368" t="str">
        <f>IF(sales[[#This Row],[Total_Amount]]&gt;=50000,"High Sales","Low Sales")</f>
        <v>High Sales</v>
      </c>
      <c r="N368">
        <f>sales[[#This Row],[Total_Amount]]/sales[[#This Row],[Quantity]]</f>
        <v>99727.49</v>
      </c>
    </row>
    <row r="369" spans="1:14" x14ac:dyDescent="0.3">
      <c r="A369" t="s">
        <v>1125</v>
      </c>
      <c r="B369">
        <v>1176</v>
      </c>
      <c r="C369" t="s">
        <v>81</v>
      </c>
      <c r="D369" t="s">
        <v>48</v>
      </c>
      <c r="E369" t="s">
        <v>1124</v>
      </c>
      <c r="F369">
        <v>1</v>
      </c>
      <c r="G369">
        <v>58119.13</v>
      </c>
      <c r="H369" t="s">
        <v>522</v>
      </c>
      <c r="I369">
        <v>2025</v>
      </c>
      <c r="J369" t="str">
        <f>_xlfn.XLOOKUP(sales[[#This Row],[Product_ID]],products[Product_ID],products[Product_Name])</f>
        <v>Camera 6</v>
      </c>
      <c r="K369" t="str">
        <f>_xlfn.XLOOKUP(sales[[#This Row],[Store_ID]],stores[Store_ID],stores[Store_Name])</f>
        <v>Visakhapatnam Store</v>
      </c>
      <c r="L369" t="str">
        <f>_xlfn.XLOOKUP(sales[[#This Row],[Customer_ID]],customers[Customer_ID],customers[Customer_Name])</f>
        <v>Vikram_176</v>
      </c>
      <c r="M369" t="str">
        <f>IF(sales[[#This Row],[Total_Amount]]&gt;=50000,"High Sales","Low Sales")</f>
        <v>High Sales</v>
      </c>
      <c r="N369">
        <f>sales[[#This Row],[Total_Amount]]/sales[[#This Row],[Quantity]]</f>
        <v>58119.13</v>
      </c>
    </row>
    <row r="370" spans="1:14" x14ac:dyDescent="0.3">
      <c r="A370" t="s">
        <v>1126</v>
      </c>
      <c r="B370">
        <v>1037</v>
      </c>
      <c r="C370" t="s">
        <v>72</v>
      </c>
      <c r="D370" t="s">
        <v>59</v>
      </c>
      <c r="E370" t="s">
        <v>625</v>
      </c>
      <c r="F370">
        <v>1</v>
      </c>
      <c r="G370">
        <v>41391.870000000003</v>
      </c>
      <c r="H370" t="s">
        <v>558</v>
      </c>
      <c r="I370">
        <v>2026</v>
      </c>
      <c r="J370" t="str">
        <f>_xlfn.XLOOKUP(sales[[#This Row],[Product_ID]],products[Product_ID],products[Product_Name])</f>
        <v>Headphones 2</v>
      </c>
      <c r="K370" t="str">
        <f>_xlfn.XLOOKUP(sales[[#This Row],[Store_ID]],stores[Store_ID],stores[Store_Name])</f>
        <v>Chennai Store</v>
      </c>
      <c r="L370" t="str">
        <f>_xlfn.XLOOKUP(sales[[#This Row],[Customer_ID]],customers[Customer_ID],customers[Customer_Name])</f>
        <v>Akhil_37</v>
      </c>
      <c r="M370" t="str">
        <f>IF(sales[[#This Row],[Total_Amount]]&gt;=50000,"High Sales","Low Sales")</f>
        <v>Low Sales</v>
      </c>
      <c r="N370">
        <f>sales[[#This Row],[Total_Amount]]/sales[[#This Row],[Quantity]]</f>
        <v>41391.870000000003</v>
      </c>
    </row>
    <row r="371" spans="1:14" x14ac:dyDescent="0.3">
      <c r="A371" t="s">
        <v>1127</v>
      </c>
      <c r="B371">
        <v>1112</v>
      </c>
      <c r="C371" t="s">
        <v>126</v>
      </c>
      <c r="D371" t="s">
        <v>50</v>
      </c>
      <c r="E371" t="s">
        <v>1128</v>
      </c>
      <c r="F371">
        <v>3</v>
      </c>
      <c r="G371">
        <v>26072.37</v>
      </c>
      <c r="H371" t="s">
        <v>575</v>
      </c>
      <c r="I371">
        <v>2025</v>
      </c>
      <c r="J371" t="str">
        <f>_xlfn.XLOOKUP(sales[[#This Row],[Product_ID]],products[Product_ID],products[Product_Name])</f>
        <v>Router 28</v>
      </c>
      <c r="K371" t="str">
        <f>_xlfn.XLOOKUP(sales[[#This Row],[Store_ID]],stores[Store_ID],stores[Store_Name])</f>
        <v>Guntur Store</v>
      </c>
      <c r="L371" t="str">
        <f>_xlfn.XLOOKUP(sales[[#This Row],[Customer_ID]],customers[Customer_ID],customers[Customer_Name])</f>
        <v>Sita_112</v>
      </c>
      <c r="M371" t="str">
        <f>IF(sales[[#This Row],[Total_Amount]]&gt;=50000,"High Sales","Low Sales")</f>
        <v>Low Sales</v>
      </c>
      <c r="N371">
        <f>sales[[#This Row],[Total_Amount]]/sales[[#This Row],[Quantity]]</f>
        <v>8690.7899999999991</v>
      </c>
    </row>
    <row r="372" spans="1:14" x14ac:dyDescent="0.3">
      <c r="A372" t="s">
        <v>1129</v>
      </c>
      <c r="B372">
        <v>1145</v>
      </c>
      <c r="C372" t="s">
        <v>122</v>
      </c>
      <c r="D372" t="s">
        <v>48</v>
      </c>
      <c r="E372" t="s">
        <v>1130</v>
      </c>
      <c r="F372">
        <v>2</v>
      </c>
      <c r="G372">
        <v>125996.54</v>
      </c>
      <c r="H372" t="s">
        <v>558</v>
      </c>
      <c r="I372">
        <v>2025</v>
      </c>
      <c r="J372" t="str">
        <f>_xlfn.XLOOKUP(sales[[#This Row],[Product_ID]],products[Product_ID],products[Product_Name])</f>
        <v>Router 26</v>
      </c>
      <c r="K372" t="str">
        <f>_xlfn.XLOOKUP(sales[[#This Row],[Store_ID]],stores[Store_ID],stores[Store_Name])</f>
        <v>Visakhapatnam Store</v>
      </c>
      <c r="L372" t="str">
        <f>_xlfn.XLOOKUP(sales[[#This Row],[Customer_ID]],customers[Customer_ID],customers[Customer_Name])</f>
        <v>Kiran_145</v>
      </c>
      <c r="M372" t="str">
        <f>IF(sales[[#This Row],[Total_Amount]]&gt;=50000,"High Sales","Low Sales")</f>
        <v>High Sales</v>
      </c>
      <c r="N372">
        <f>sales[[#This Row],[Total_Amount]]/sales[[#This Row],[Quantity]]</f>
        <v>62998.27</v>
      </c>
    </row>
    <row r="373" spans="1:14" x14ac:dyDescent="0.3">
      <c r="A373" t="s">
        <v>1131</v>
      </c>
      <c r="B373">
        <v>1113</v>
      </c>
      <c r="C373" t="s">
        <v>106</v>
      </c>
      <c r="D373" t="s">
        <v>48</v>
      </c>
      <c r="E373" t="s">
        <v>176</v>
      </c>
      <c r="F373">
        <v>5</v>
      </c>
      <c r="G373">
        <v>500114.9</v>
      </c>
      <c r="H373" t="s">
        <v>540</v>
      </c>
      <c r="I373">
        <v>2025</v>
      </c>
      <c r="J373" t="str">
        <f>_xlfn.XLOOKUP(sales[[#This Row],[Product_ID]],products[Product_ID],products[Product_Name])</f>
        <v>Microwave 18</v>
      </c>
      <c r="K373" t="str">
        <f>_xlfn.XLOOKUP(sales[[#This Row],[Store_ID]],stores[Store_ID],stores[Store_Name])</f>
        <v>Visakhapatnam Store</v>
      </c>
      <c r="L373" t="str">
        <f>_xlfn.XLOOKUP(sales[[#This Row],[Customer_ID]],customers[Customer_ID],customers[Customer_Name])</f>
        <v>Nikhil_113</v>
      </c>
      <c r="M373" t="str">
        <f>IF(sales[[#This Row],[Total_Amount]]&gt;=50000,"High Sales","Low Sales")</f>
        <v>High Sales</v>
      </c>
      <c r="N373">
        <f>sales[[#This Row],[Total_Amount]]/sales[[#This Row],[Quantity]]</f>
        <v>100022.98000000001</v>
      </c>
    </row>
    <row r="374" spans="1:14" x14ac:dyDescent="0.3">
      <c r="A374" t="s">
        <v>1132</v>
      </c>
      <c r="B374">
        <v>1182</v>
      </c>
      <c r="C374" t="s">
        <v>108</v>
      </c>
      <c r="D374" t="s">
        <v>53</v>
      </c>
      <c r="E374" t="s">
        <v>712</v>
      </c>
      <c r="F374">
        <v>3</v>
      </c>
      <c r="G374">
        <v>92550.81</v>
      </c>
      <c r="H374" t="s">
        <v>537</v>
      </c>
      <c r="I374">
        <v>2026</v>
      </c>
      <c r="J374" t="str">
        <f>_xlfn.XLOOKUP(sales[[#This Row],[Product_ID]],products[Product_ID],products[Product_Name])</f>
        <v>Mouse 19</v>
      </c>
      <c r="K374" t="str">
        <f>_xlfn.XLOOKUP(sales[[#This Row],[Store_ID]],stores[Store_ID],stores[Store_Name])</f>
        <v>Warangal Store</v>
      </c>
      <c r="L374" t="str">
        <f>_xlfn.XLOOKUP(sales[[#This Row],[Customer_ID]],customers[Customer_ID],customers[Customer_Name])</f>
        <v>Keerthi_182</v>
      </c>
      <c r="M374" t="str">
        <f>IF(sales[[#This Row],[Total_Amount]]&gt;=50000,"High Sales","Low Sales")</f>
        <v>High Sales</v>
      </c>
      <c r="N374">
        <f>sales[[#This Row],[Total_Amount]]/sales[[#This Row],[Quantity]]</f>
        <v>30850.27</v>
      </c>
    </row>
    <row r="375" spans="1:14" x14ac:dyDescent="0.3">
      <c r="A375" t="s">
        <v>1133</v>
      </c>
      <c r="B375">
        <v>1154</v>
      </c>
      <c r="C375" t="s">
        <v>114</v>
      </c>
      <c r="D375" t="s">
        <v>50</v>
      </c>
      <c r="E375" t="s">
        <v>1134</v>
      </c>
      <c r="F375">
        <v>1</v>
      </c>
      <c r="G375">
        <v>72198.649999999994</v>
      </c>
      <c r="H375" t="s">
        <v>575</v>
      </c>
      <c r="I375">
        <v>2025</v>
      </c>
      <c r="J375" t="str">
        <f>_xlfn.XLOOKUP(sales[[#This Row],[Product_ID]],products[Product_ID],products[Product_Name])</f>
        <v>Mixer 22</v>
      </c>
      <c r="K375" t="str">
        <f>_xlfn.XLOOKUP(sales[[#This Row],[Store_ID]],stores[Store_ID],stores[Store_Name])</f>
        <v>Guntur Store</v>
      </c>
      <c r="L375" t="str">
        <f>_xlfn.XLOOKUP(sales[[#This Row],[Customer_ID]],customers[Customer_ID],customers[Customer_Name])</f>
        <v>Priya_154</v>
      </c>
      <c r="M375" t="str">
        <f>IF(sales[[#This Row],[Total_Amount]]&gt;=50000,"High Sales","Low Sales")</f>
        <v>High Sales</v>
      </c>
      <c r="N375">
        <f>sales[[#This Row],[Total_Amount]]/sales[[#This Row],[Quantity]]</f>
        <v>72198.649999999994</v>
      </c>
    </row>
    <row r="376" spans="1:14" x14ac:dyDescent="0.3">
      <c r="A376" t="s">
        <v>1135</v>
      </c>
      <c r="B376">
        <v>1103</v>
      </c>
      <c r="C376" t="s">
        <v>110</v>
      </c>
      <c r="D376" t="s">
        <v>48</v>
      </c>
      <c r="E376" t="s">
        <v>1136</v>
      </c>
      <c r="F376">
        <v>4</v>
      </c>
      <c r="G376">
        <v>3702.04</v>
      </c>
      <c r="H376" t="s">
        <v>561</v>
      </c>
      <c r="I376">
        <v>2025</v>
      </c>
      <c r="J376" t="str">
        <f>_xlfn.XLOOKUP(sales[[#This Row],[Product_ID]],products[Product_ID],products[Product_Name])</f>
        <v>Keyboard 20</v>
      </c>
      <c r="K376" t="str">
        <f>_xlfn.XLOOKUP(sales[[#This Row],[Store_ID]],stores[Store_ID],stores[Store_Name])</f>
        <v>Visakhapatnam Store</v>
      </c>
      <c r="L376" t="str">
        <f>_xlfn.XLOOKUP(sales[[#This Row],[Customer_ID]],customers[Customer_ID],customers[Customer_Name])</f>
        <v>Keerthi_103</v>
      </c>
      <c r="M376" t="str">
        <f>IF(sales[[#This Row],[Total_Amount]]&gt;=50000,"High Sales","Low Sales")</f>
        <v>Low Sales</v>
      </c>
      <c r="N376">
        <f>sales[[#This Row],[Total_Amount]]/sales[[#This Row],[Quantity]]</f>
        <v>925.51</v>
      </c>
    </row>
    <row r="377" spans="1:14" x14ac:dyDescent="0.3">
      <c r="A377" t="s">
        <v>1137</v>
      </c>
      <c r="B377">
        <v>1171</v>
      </c>
      <c r="C377" t="s">
        <v>126</v>
      </c>
      <c r="D377" t="s">
        <v>62</v>
      </c>
      <c r="E377" t="s">
        <v>473</v>
      </c>
      <c r="F377">
        <v>2</v>
      </c>
      <c r="G377">
        <v>55256.38</v>
      </c>
      <c r="H377" t="s">
        <v>525</v>
      </c>
      <c r="I377">
        <v>2025</v>
      </c>
      <c r="J377" t="str">
        <f>_xlfn.XLOOKUP(sales[[#This Row],[Product_ID]],products[Product_ID],products[Product_Name])</f>
        <v>Router 28</v>
      </c>
      <c r="K377" t="str">
        <f>_xlfn.XLOOKUP(sales[[#This Row],[Store_ID]],stores[Store_ID],stores[Store_Name])</f>
        <v>Pune Store</v>
      </c>
      <c r="L377" t="str">
        <f>_xlfn.XLOOKUP(sales[[#This Row],[Customer_ID]],customers[Customer_ID],customers[Customer_Name])</f>
        <v>Priya_171</v>
      </c>
      <c r="M377" t="str">
        <f>IF(sales[[#This Row],[Total_Amount]]&gt;=50000,"High Sales","Low Sales")</f>
        <v>High Sales</v>
      </c>
      <c r="N377">
        <f>sales[[#This Row],[Total_Amount]]/sales[[#This Row],[Quantity]]</f>
        <v>27628.19</v>
      </c>
    </row>
    <row r="378" spans="1:14" x14ac:dyDescent="0.3">
      <c r="A378" t="s">
        <v>1138</v>
      </c>
      <c r="B378">
        <v>1065</v>
      </c>
      <c r="C378" t="s">
        <v>116</v>
      </c>
      <c r="D378" t="s">
        <v>53</v>
      </c>
      <c r="E378" t="s">
        <v>668</v>
      </c>
      <c r="F378">
        <v>5</v>
      </c>
      <c r="G378">
        <v>181192.2</v>
      </c>
      <c r="H378" t="s">
        <v>537</v>
      </c>
      <c r="I378">
        <v>2025</v>
      </c>
      <c r="J378" t="str">
        <f>_xlfn.XLOOKUP(sales[[#This Row],[Product_ID]],products[Product_ID],products[Product_Name])</f>
        <v>Microwave 23</v>
      </c>
      <c r="K378" t="str">
        <f>_xlfn.XLOOKUP(sales[[#This Row],[Store_ID]],stores[Store_ID],stores[Store_Name])</f>
        <v>Warangal Store</v>
      </c>
      <c r="L378" t="str">
        <f>_xlfn.XLOOKUP(sales[[#This Row],[Customer_ID]],customers[Customer_ID],customers[Customer_Name])</f>
        <v>Vikram_65</v>
      </c>
      <c r="M378" t="str">
        <f>IF(sales[[#This Row],[Total_Amount]]&gt;=50000,"High Sales","Low Sales")</f>
        <v>High Sales</v>
      </c>
      <c r="N378">
        <f>sales[[#This Row],[Total_Amount]]/sales[[#This Row],[Quantity]]</f>
        <v>36238.44</v>
      </c>
    </row>
    <row r="379" spans="1:14" x14ac:dyDescent="0.3">
      <c r="A379" t="s">
        <v>1139</v>
      </c>
      <c r="B379">
        <v>1017</v>
      </c>
      <c r="C379" t="s">
        <v>72</v>
      </c>
      <c r="D379" t="s">
        <v>50</v>
      </c>
      <c r="E379" t="s">
        <v>737</v>
      </c>
      <c r="F379">
        <v>4</v>
      </c>
      <c r="G379">
        <v>73568.52</v>
      </c>
      <c r="H379" t="s">
        <v>558</v>
      </c>
      <c r="I379">
        <v>2025</v>
      </c>
      <c r="J379" t="str">
        <f>_xlfn.XLOOKUP(sales[[#This Row],[Product_ID]],products[Product_ID],products[Product_Name])</f>
        <v>Headphones 2</v>
      </c>
      <c r="K379" t="str">
        <f>_xlfn.XLOOKUP(sales[[#This Row],[Store_ID]],stores[Store_ID],stores[Store_Name])</f>
        <v>Guntur Store</v>
      </c>
      <c r="L379" t="str">
        <f>_xlfn.XLOOKUP(sales[[#This Row],[Customer_ID]],customers[Customer_ID],customers[Customer_Name])</f>
        <v>Kiran_17</v>
      </c>
      <c r="M379" t="str">
        <f>IF(sales[[#This Row],[Total_Amount]]&gt;=50000,"High Sales","Low Sales")</f>
        <v>High Sales</v>
      </c>
      <c r="N379">
        <f>sales[[#This Row],[Total_Amount]]/sales[[#This Row],[Quantity]]</f>
        <v>18392.13</v>
      </c>
    </row>
    <row r="380" spans="1:14" x14ac:dyDescent="0.3">
      <c r="A380" t="s">
        <v>1140</v>
      </c>
      <c r="B380">
        <v>1088</v>
      </c>
      <c r="C380" t="s">
        <v>94</v>
      </c>
      <c r="D380" t="s">
        <v>42</v>
      </c>
      <c r="E380" t="s">
        <v>952</v>
      </c>
      <c r="F380">
        <v>3</v>
      </c>
      <c r="G380">
        <v>322314.81</v>
      </c>
      <c r="H380" t="s">
        <v>537</v>
      </c>
      <c r="I380">
        <v>2025</v>
      </c>
      <c r="J380" t="str">
        <f>_xlfn.XLOOKUP(sales[[#This Row],[Product_ID]],products[Product_ID],products[Product_Name])</f>
        <v>Mouse 12</v>
      </c>
      <c r="K380" t="str">
        <f>_xlfn.XLOOKUP(sales[[#This Row],[Store_ID]],stores[Store_ID],stores[Store_Name])</f>
        <v>Hyderabad Store</v>
      </c>
      <c r="L380" t="str">
        <f>_xlfn.XLOOKUP(sales[[#This Row],[Customer_ID]],customers[Customer_ID],customers[Customer_Name])</f>
        <v>Anjali_88</v>
      </c>
      <c r="M380" t="str">
        <f>IF(sales[[#This Row],[Total_Amount]]&gt;=50000,"High Sales","Low Sales")</f>
        <v>High Sales</v>
      </c>
      <c r="N380">
        <f>sales[[#This Row],[Total_Amount]]/sales[[#This Row],[Quantity]]</f>
        <v>107438.27</v>
      </c>
    </row>
    <row r="381" spans="1:14" x14ac:dyDescent="0.3">
      <c r="A381" t="s">
        <v>1141</v>
      </c>
      <c r="B381">
        <v>1105</v>
      </c>
      <c r="C381" t="s">
        <v>130</v>
      </c>
      <c r="D381" t="s">
        <v>50</v>
      </c>
      <c r="E381" t="s">
        <v>1142</v>
      </c>
      <c r="F381">
        <v>3</v>
      </c>
      <c r="G381">
        <v>229104.99</v>
      </c>
      <c r="H381" t="s">
        <v>525</v>
      </c>
      <c r="I381">
        <v>2026</v>
      </c>
      <c r="J381" t="str">
        <f>_xlfn.XLOOKUP(sales[[#This Row],[Product_ID]],products[Product_ID],products[Product_Name])</f>
        <v>Monitor 30</v>
      </c>
      <c r="K381" t="str">
        <f>_xlfn.XLOOKUP(sales[[#This Row],[Store_ID]],stores[Store_ID],stores[Store_Name])</f>
        <v>Guntur Store</v>
      </c>
      <c r="L381" t="str">
        <f>_xlfn.XLOOKUP(sales[[#This Row],[Customer_ID]],customers[Customer_ID],customers[Customer_Name])</f>
        <v>Divya_105</v>
      </c>
      <c r="M381" t="str">
        <f>IF(sales[[#This Row],[Total_Amount]]&gt;=50000,"High Sales","Low Sales")</f>
        <v>High Sales</v>
      </c>
      <c r="N381">
        <f>sales[[#This Row],[Total_Amount]]/sales[[#This Row],[Quantity]]</f>
        <v>76368.33</v>
      </c>
    </row>
    <row r="382" spans="1:14" x14ac:dyDescent="0.3">
      <c r="A382" t="s">
        <v>1143</v>
      </c>
      <c r="B382">
        <v>1015</v>
      </c>
      <c r="C382" t="s">
        <v>94</v>
      </c>
      <c r="D382" t="s">
        <v>53</v>
      </c>
      <c r="E382" t="s">
        <v>1007</v>
      </c>
      <c r="F382">
        <v>5</v>
      </c>
      <c r="G382">
        <v>189362.9</v>
      </c>
      <c r="H382" t="s">
        <v>575</v>
      </c>
      <c r="I382">
        <v>2025</v>
      </c>
      <c r="J382" t="str">
        <f>_xlfn.XLOOKUP(sales[[#This Row],[Product_ID]],products[Product_ID],products[Product_Name])</f>
        <v>Mouse 12</v>
      </c>
      <c r="K382" t="str">
        <f>_xlfn.XLOOKUP(sales[[#This Row],[Store_ID]],stores[Store_ID],stores[Store_Name])</f>
        <v>Warangal Store</v>
      </c>
      <c r="L382" t="str">
        <f>_xlfn.XLOOKUP(sales[[#This Row],[Customer_ID]],customers[Customer_ID],customers[Customer_Name])</f>
        <v>Keerthi_15</v>
      </c>
      <c r="M382" t="str">
        <f>IF(sales[[#This Row],[Total_Amount]]&gt;=50000,"High Sales","Low Sales")</f>
        <v>High Sales</v>
      </c>
      <c r="N382">
        <f>sales[[#This Row],[Total_Amount]]/sales[[#This Row],[Quantity]]</f>
        <v>37872.58</v>
      </c>
    </row>
    <row r="383" spans="1:14" x14ac:dyDescent="0.3">
      <c r="A383" t="s">
        <v>1144</v>
      </c>
      <c r="B383">
        <v>1149</v>
      </c>
      <c r="C383" t="s">
        <v>114</v>
      </c>
      <c r="D383" t="s">
        <v>48</v>
      </c>
      <c r="E383" t="s">
        <v>638</v>
      </c>
      <c r="F383">
        <v>3</v>
      </c>
      <c r="G383">
        <v>82840.83</v>
      </c>
      <c r="H383" t="s">
        <v>522</v>
      </c>
      <c r="I383">
        <v>2025</v>
      </c>
      <c r="J383" t="str">
        <f>_xlfn.XLOOKUP(sales[[#This Row],[Product_ID]],products[Product_ID],products[Product_Name])</f>
        <v>Mixer 22</v>
      </c>
      <c r="K383" t="str">
        <f>_xlfn.XLOOKUP(sales[[#This Row],[Store_ID]],stores[Store_ID],stores[Store_Name])</f>
        <v>Visakhapatnam Store</v>
      </c>
      <c r="L383" t="str">
        <f>_xlfn.XLOOKUP(sales[[#This Row],[Customer_ID]],customers[Customer_ID],customers[Customer_Name])</f>
        <v>Akhil_149</v>
      </c>
      <c r="M383" t="str">
        <f>IF(sales[[#This Row],[Total_Amount]]&gt;=50000,"High Sales","Low Sales")</f>
        <v>High Sales</v>
      </c>
      <c r="N383">
        <f>sales[[#This Row],[Total_Amount]]/sales[[#This Row],[Quantity]]</f>
        <v>27613.61</v>
      </c>
    </row>
    <row r="384" spans="1:14" x14ac:dyDescent="0.3">
      <c r="A384" t="s">
        <v>1145</v>
      </c>
      <c r="B384">
        <v>1143</v>
      </c>
      <c r="C384" t="s">
        <v>75</v>
      </c>
      <c r="D384" t="s">
        <v>42</v>
      </c>
      <c r="E384" t="s">
        <v>154</v>
      </c>
      <c r="F384">
        <v>3</v>
      </c>
      <c r="G384">
        <v>342353.4</v>
      </c>
      <c r="H384" t="s">
        <v>545</v>
      </c>
      <c r="I384">
        <v>2025</v>
      </c>
      <c r="J384" t="str">
        <f>_xlfn.XLOOKUP(sales[[#This Row],[Product_ID]],products[Product_ID],products[Product_Name])</f>
        <v>Smart Watch 3</v>
      </c>
      <c r="K384" t="str">
        <f>_xlfn.XLOOKUP(sales[[#This Row],[Store_ID]],stores[Store_ID],stores[Store_Name])</f>
        <v>Hyderabad Store</v>
      </c>
      <c r="L384" t="str">
        <f>_xlfn.XLOOKUP(sales[[#This Row],[Customer_ID]],customers[Customer_ID],customers[Customer_Name])</f>
        <v>Sita_143</v>
      </c>
      <c r="M384" t="str">
        <f>IF(sales[[#This Row],[Total_Amount]]&gt;=50000,"High Sales","Low Sales")</f>
        <v>High Sales</v>
      </c>
      <c r="N384">
        <f>sales[[#This Row],[Total_Amount]]/sales[[#This Row],[Quantity]]</f>
        <v>114117.8</v>
      </c>
    </row>
    <row r="385" spans="1:14" x14ac:dyDescent="0.3">
      <c r="A385" t="s">
        <v>1146</v>
      </c>
      <c r="B385">
        <v>1053</v>
      </c>
      <c r="C385" t="s">
        <v>96</v>
      </c>
      <c r="D385" t="s">
        <v>62</v>
      </c>
      <c r="E385" t="s">
        <v>555</v>
      </c>
      <c r="F385">
        <v>4</v>
      </c>
      <c r="G385">
        <v>181861.28</v>
      </c>
      <c r="H385" t="s">
        <v>531</v>
      </c>
      <c r="I385">
        <v>2026</v>
      </c>
      <c r="J385" t="str">
        <f>_xlfn.XLOOKUP(sales[[#This Row],[Product_ID]],products[Product_ID],products[Product_Name])</f>
        <v>Printer 13</v>
      </c>
      <c r="K385" t="str">
        <f>_xlfn.XLOOKUP(sales[[#This Row],[Store_ID]],stores[Store_ID],stores[Store_Name])</f>
        <v>Pune Store</v>
      </c>
      <c r="L385" t="str">
        <f>_xlfn.XLOOKUP(sales[[#This Row],[Customer_ID]],customers[Customer_ID],customers[Customer_Name])</f>
        <v>Ramesh_53</v>
      </c>
      <c r="M385" t="str">
        <f>IF(sales[[#This Row],[Total_Amount]]&gt;=50000,"High Sales","Low Sales")</f>
        <v>High Sales</v>
      </c>
      <c r="N385">
        <f>sales[[#This Row],[Total_Amount]]/sales[[#This Row],[Quantity]]</f>
        <v>45465.32</v>
      </c>
    </row>
    <row r="386" spans="1:14" x14ac:dyDescent="0.3">
      <c r="A386" t="s">
        <v>1147</v>
      </c>
      <c r="B386">
        <v>1166</v>
      </c>
      <c r="C386" t="s">
        <v>126</v>
      </c>
      <c r="D386" t="s">
        <v>46</v>
      </c>
      <c r="E386" t="s">
        <v>544</v>
      </c>
      <c r="F386">
        <v>2</v>
      </c>
      <c r="G386">
        <v>149720</v>
      </c>
      <c r="H386" t="s">
        <v>545</v>
      </c>
      <c r="I386">
        <v>2025</v>
      </c>
      <c r="J386" t="str">
        <f>_xlfn.XLOOKUP(sales[[#This Row],[Product_ID]],products[Product_ID],products[Product_Name])</f>
        <v>Router 28</v>
      </c>
      <c r="K386" t="str">
        <f>_xlfn.XLOOKUP(sales[[#This Row],[Store_ID]],stores[Store_ID],stores[Store_Name])</f>
        <v>Vijayawada Store</v>
      </c>
      <c r="L386" t="str">
        <f>_xlfn.XLOOKUP(sales[[#This Row],[Customer_ID]],customers[Customer_ID],customers[Customer_Name])</f>
        <v>Arjun_166</v>
      </c>
      <c r="M386" t="str">
        <f>IF(sales[[#This Row],[Total_Amount]]&gt;=50000,"High Sales","Low Sales")</f>
        <v>High Sales</v>
      </c>
      <c r="N386">
        <f>sales[[#This Row],[Total_Amount]]/sales[[#This Row],[Quantity]]</f>
        <v>74860</v>
      </c>
    </row>
    <row r="387" spans="1:14" x14ac:dyDescent="0.3">
      <c r="A387" t="s">
        <v>1148</v>
      </c>
      <c r="B387">
        <v>1135</v>
      </c>
      <c r="C387" t="s">
        <v>86</v>
      </c>
      <c r="D387" t="s">
        <v>50</v>
      </c>
      <c r="E387" t="s">
        <v>674</v>
      </c>
      <c r="F387">
        <v>4</v>
      </c>
      <c r="G387">
        <v>168757.96</v>
      </c>
      <c r="H387" t="s">
        <v>534</v>
      </c>
      <c r="I387">
        <v>2025</v>
      </c>
      <c r="J387" t="str">
        <f>_xlfn.XLOOKUP(sales[[#This Row],[Product_ID]],products[Product_ID],products[Product_Name])</f>
        <v>Laptop 8</v>
      </c>
      <c r="K387" t="str">
        <f>_xlfn.XLOOKUP(sales[[#This Row],[Store_ID]],stores[Store_ID],stores[Store_Name])</f>
        <v>Guntur Store</v>
      </c>
      <c r="L387" t="str">
        <f>_xlfn.XLOOKUP(sales[[#This Row],[Customer_ID]],customers[Customer_ID],customers[Customer_Name])</f>
        <v>Arjun_135</v>
      </c>
      <c r="M387" t="str">
        <f>IF(sales[[#This Row],[Total_Amount]]&gt;=50000,"High Sales","Low Sales")</f>
        <v>High Sales</v>
      </c>
      <c r="N387">
        <f>sales[[#This Row],[Total_Amount]]/sales[[#This Row],[Quantity]]</f>
        <v>42189.49</v>
      </c>
    </row>
    <row r="388" spans="1:14" x14ac:dyDescent="0.3">
      <c r="A388" t="s">
        <v>1149</v>
      </c>
      <c r="B388">
        <v>1001</v>
      </c>
      <c r="C388" t="s">
        <v>98</v>
      </c>
      <c r="D388" t="s">
        <v>46</v>
      </c>
      <c r="E388" t="s">
        <v>1150</v>
      </c>
      <c r="F388">
        <v>3</v>
      </c>
      <c r="G388">
        <v>252927.15</v>
      </c>
      <c r="H388" t="s">
        <v>537</v>
      </c>
      <c r="I388">
        <v>2026</v>
      </c>
      <c r="J388" t="str">
        <f>_xlfn.XLOOKUP(sales[[#This Row],[Product_ID]],products[Product_ID],products[Product_Name])</f>
        <v>Camera 14</v>
      </c>
      <c r="K388" t="str">
        <f>_xlfn.XLOOKUP(sales[[#This Row],[Store_ID]],stores[Store_ID],stores[Store_Name])</f>
        <v>Vijayawada Store</v>
      </c>
      <c r="L388" t="str">
        <f>_xlfn.XLOOKUP(sales[[#This Row],[Customer_ID]],customers[Customer_ID],customers[Customer_Name])</f>
        <v>Akhil_1</v>
      </c>
      <c r="M388" t="str">
        <f>IF(sales[[#This Row],[Total_Amount]]&gt;=50000,"High Sales","Low Sales")</f>
        <v>High Sales</v>
      </c>
      <c r="N388">
        <f>sales[[#This Row],[Total_Amount]]/sales[[#This Row],[Quantity]]</f>
        <v>84309.05</v>
      </c>
    </row>
    <row r="389" spans="1:14" x14ac:dyDescent="0.3">
      <c r="A389" t="s">
        <v>1151</v>
      </c>
      <c r="B389">
        <v>1094</v>
      </c>
      <c r="C389" t="s">
        <v>118</v>
      </c>
      <c r="D389" t="s">
        <v>46</v>
      </c>
      <c r="E389" t="s">
        <v>496</v>
      </c>
      <c r="F389">
        <v>2</v>
      </c>
      <c r="G389">
        <v>234739.68</v>
      </c>
      <c r="H389" t="s">
        <v>531</v>
      </c>
      <c r="I389">
        <v>2025</v>
      </c>
      <c r="J389" t="str">
        <f>_xlfn.XLOOKUP(sales[[#This Row],[Product_ID]],products[Product_ID],products[Product_Name])</f>
        <v>Tablet 24</v>
      </c>
      <c r="K389" t="str">
        <f>_xlfn.XLOOKUP(sales[[#This Row],[Store_ID]],stores[Store_ID],stores[Store_Name])</f>
        <v>Vijayawada Store</v>
      </c>
      <c r="L389" t="str">
        <f>_xlfn.XLOOKUP(sales[[#This Row],[Customer_ID]],customers[Customer_ID],customers[Customer_Name])</f>
        <v>Keerthi_94</v>
      </c>
      <c r="M389" t="str">
        <f>IF(sales[[#This Row],[Total_Amount]]&gt;=50000,"High Sales","Low Sales")</f>
        <v>High Sales</v>
      </c>
      <c r="N389">
        <f>sales[[#This Row],[Total_Amount]]/sales[[#This Row],[Quantity]]</f>
        <v>117369.84</v>
      </c>
    </row>
    <row r="390" spans="1:14" x14ac:dyDescent="0.3">
      <c r="A390" t="s">
        <v>1152</v>
      </c>
      <c r="B390">
        <v>1128</v>
      </c>
      <c r="C390" t="s">
        <v>104</v>
      </c>
      <c r="D390" t="s">
        <v>50</v>
      </c>
      <c r="E390" t="s">
        <v>1153</v>
      </c>
      <c r="F390">
        <v>4</v>
      </c>
      <c r="G390">
        <v>53837.599999999999</v>
      </c>
      <c r="H390" t="s">
        <v>525</v>
      </c>
      <c r="I390">
        <v>2025</v>
      </c>
      <c r="J390" t="str">
        <f>_xlfn.XLOOKUP(sales[[#This Row],[Product_ID]],products[Product_ID],products[Product_Name])</f>
        <v>Mixer 17</v>
      </c>
      <c r="K390" t="str">
        <f>_xlfn.XLOOKUP(sales[[#This Row],[Store_ID]],stores[Store_ID],stores[Store_Name])</f>
        <v>Guntur Store</v>
      </c>
      <c r="L390" t="str">
        <f>_xlfn.XLOOKUP(sales[[#This Row],[Customer_ID]],customers[Customer_ID],customers[Customer_Name])</f>
        <v>Keerthi_128</v>
      </c>
      <c r="M390" t="str">
        <f>IF(sales[[#This Row],[Total_Amount]]&gt;=50000,"High Sales","Low Sales")</f>
        <v>High Sales</v>
      </c>
      <c r="N390">
        <f>sales[[#This Row],[Total_Amount]]/sales[[#This Row],[Quantity]]</f>
        <v>13459.4</v>
      </c>
    </row>
    <row r="391" spans="1:14" x14ac:dyDescent="0.3">
      <c r="A391" t="s">
        <v>1154</v>
      </c>
      <c r="B391">
        <v>1016</v>
      </c>
      <c r="C391" t="s">
        <v>106</v>
      </c>
      <c r="D391" t="s">
        <v>42</v>
      </c>
      <c r="E391" t="s">
        <v>935</v>
      </c>
      <c r="F391">
        <v>2</v>
      </c>
      <c r="G391">
        <v>68214.28</v>
      </c>
      <c r="H391" t="s">
        <v>522</v>
      </c>
      <c r="I391">
        <v>2025</v>
      </c>
      <c r="J391" t="str">
        <f>_xlfn.XLOOKUP(sales[[#This Row],[Product_ID]],products[Product_ID],products[Product_Name])</f>
        <v>Microwave 18</v>
      </c>
      <c r="K391" t="str">
        <f>_xlfn.XLOOKUP(sales[[#This Row],[Store_ID]],stores[Store_ID],stores[Store_Name])</f>
        <v>Hyderabad Store</v>
      </c>
      <c r="L391" t="str">
        <f>_xlfn.XLOOKUP(sales[[#This Row],[Customer_ID]],customers[Customer_ID],customers[Customer_Name])</f>
        <v>Sneha_16</v>
      </c>
      <c r="M391" t="str">
        <f>IF(sales[[#This Row],[Total_Amount]]&gt;=50000,"High Sales","Low Sales")</f>
        <v>High Sales</v>
      </c>
      <c r="N391">
        <f>sales[[#This Row],[Total_Amount]]/sales[[#This Row],[Quantity]]</f>
        <v>34107.14</v>
      </c>
    </row>
    <row r="392" spans="1:14" x14ac:dyDescent="0.3">
      <c r="A392" t="s">
        <v>1155</v>
      </c>
      <c r="B392">
        <v>1002</v>
      </c>
      <c r="C392" t="s">
        <v>90</v>
      </c>
      <c r="D392" t="s">
        <v>50</v>
      </c>
      <c r="E392" t="s">
        <v>717</v>
      </c>
      <c r="F392">
        <v>1</v>
      </c>
      <c r="G392">
        <v>73598.25</v>
      </c>
      <c r="H392" t="s">
        <v>575</v>
      </c>
      <c r="I392">
        <v>2026</v>
      </c>
      <c r="J392" t="str">
        <f>_xlfn.XLOOKUP(sales[[#This Row],[Product_ID]],products[Product_ID],products[Product_Name])</f>
        <v>Camera 10</v>
      </c>
      <c r="K392" t="str">
        <f>_xlfn.XLOOKUP(sales[[#This Row],[Store_ID]],stores[Store_ID],stores[Store_Name])</f>
        <v>Guntur Store</v>
      </c>
      <c r="L392" t="str">
        <f>_xlfn.XLOOKUP(sales[[#This Row],[Customer_ID]],customers[Customer_ID],customers[Customer_Name])</f>
        <v>Ramesh_2</v>
      </c>
      <c r="M392" t="str">
        <f>IF(sales[[#This Row],[Total_Amount]]&gt;=50000,"High Sales","Low Sales")</f>
        <v>High Sales</v>
      </c>
      <c r="N392">
        <f>sales[[#This Row],[Total_Amount]]/sales[[#This Row],[Quantity]]</f>
        <v>73598.25</v>
      </c>
    </row>
    <row r="393" spans="1:14" x14ac:dyDescent="0.3">
      <c r="A393" t="s">
        <v>1156</v>
      </c>
      <c r="B393">
        <v>1174</v>
      </c>
      <c r="C393" t="s">
        <v>90</v>
      </c>
      <c r="D393" t="s">
        <v>46</v>
      </c>
      <c r="E393" t="s">
        <v>1064</v>
      </c>
      <c r="F393">
        <v>2</v>
      </c>
      <c r="G393">
        <v>203308.36</v>
      </c>
      <c r="H393" t="s">
        <v>525</v>
      </c>
      <c r="I393">
        <v>2025</v>
      </c>
      <c r="J393" t="str">
        <f>_xlfn.XLOOKUP(sales[[#This Row],[Product_ID]],products[Product_ID],products[Product_Name])</f>
        <v>Camera 10</v>
      </c>
      <c r="K393" t="str">
        <f>_xlfn.XLOOKUP(sales[[#This Row],[Store_ID]],stores[Store_ID],stores[Store_Name])</f>
        <v>Vijayawada Store</v>
      </c>
      <c r="L393" t="str">
        <f>_xlfn.XLOOKUP(sales[[#This Row],[Customer_ID]],customers[Customer_ID],customers[Customer_Name])</f>
        <v>Keerthi_174</v>
      </c>
      <c r="M393" t="str">
        <f>IF(sales[[#This Row],[Total_Amount]]&gt;=50000,"High Sales","Low Sales")</f>
        <v>High Sales</v>
      </c>
      <c r="N393">
        <f>sales[[#This Row],[Total_Amount]]/sales[[#This Row],[Quantity]]</f>
        <v>101654.18</v>
      </c>
    </row>
    <row r="394" spans="1:14" x14ac:dyDescent="0.3">
      <c r="A394" t="s">
        <v>1157</v>
      </c>
      <c r="B394">
        <v>1030</v>
      </c>
      <c r="C394" t="s">
        <v>98</v>
      </c>
      <c r="D394" t="s">
        <v>50</v>
      </c>
      <c r="E394" t="s">
        <v>1031</v>
      </c>
      <c r="F394">
        <v>1</v>
      </c>
      <c r="G394">
        <v>86177.71</v>
      </c>
      <c r="H394" t="s">
        <v>558</v>
      </c>
      <c r="I394">
        <v>2025</v>
      </c>
      <c r="J394" t="str">
        <f>_xlfn.XLOOKUP(sales[[#This Row],[Product_ID]],products[Product_ID],products[Product_Name])</f>
        <v>Camera 14</v>
      </c>
      <c r="K394" t="str">
        <f>_xlfn.XLOOKUP(sales[[#This Row],[Store_ID]],stores[Store_ID],stores[Store_Name])</f>
        <v>Guntur Store</v>
      </c>
      <c r="L394" t="str">
        <f>_xlfn.XLOOKUP(sales[[#This Row],[Customer_ID]],customers[Customer_ID],customers[Customer_Name])</f>
        <v>Ramesh_30</v>
      </c>
      <c r="M394" t="str">
        <f>IF(sales[[#This Row],[Total_Amount]]&gt;=50000,"High Sales","Low Sales")</f>
        <v>High Sales</v>
      </c>
      <c r="N394">
        <f>sales[[#This Row],[Total_Amount]]/sales[[#This Row],[Quantity]]</f>
        <v>86177.71</v>
      </c>
    </row>
    <row r="395" spans="1:14" x14ac:dyDescent="0.3">
      <c r="A395" t="s">
        <v>1158</v>
      </c>
      <c r="B395">
        <v>1125</v>
      </c>
      <c r="C395" t="s">
        <v>92</v>
      </c>
      <c r="D395" t="s">
        <v>57</v>
      </c>
      <c r="E395" t="s">
        <v>621</v>
      </c>
      <c r="F395">
        <v>5</v>
      </c>
      <c r="G395">
        <v>187964.5</v>
      </c>
      <c r="H395" t="s">
        <v>558</v>
      </c>
      <c r="I395">
        <v>2026</v>
      </c>
      <c r="J395" t="str">
        <f>_xlfn.XLOOKUP(sales[[#This Row],[Product_ID]],products[Product_ID],products[Product_Name])</f>
        <v>Smartphone 11</v>
      </c>
      <c r="K395" t="str">
        <f>_xlfn.XLOOKUP(sales[[#This Row],[Store_ID]],stores[Store_ID],stores[Store_Name])</f>
        <v>Bengaluru Store</v>
      </c>
      <c r="L395" t="str">
        <f>_xlfn.XLOOKUP(sales[[#This Row],[Customer_ID]],customers[Customer_ID],customers[Customer_Name])</f>
        <v>Ramesh_125</v>
      </c>
      <c r="M395" t="str">
        <f>IF(sales[[#This Row],[Total_Amount]]&gt;=50000,"High Sales","Low Sales")</f>
        <v>High Sales</v>
      </c>
      <c r="N395">
        <f>sales[[#This Row],[Total_Amount]]/sales[[#This Row],[Quantity]]</f>
        <v>37592.9</v>
      </c>
    </row>
    <row r="396" spans="1:14" x14ac:dyDescent="0.3">
      <c r="A396" t="s">
        <v>1159</v>
      </c>
      <c r="B396">
        <v>1072</v>
      </c>
      <c r="C396" t="s">
        <v>126</v>
      </c>
      <c r="D396" t="s">
        <v>42</v>
      </c>
      <c r="E396" t="s">
        <v>1160</v>
      </c>
      <c r="F396">
        <v>5</v>
      </c>
      <c r="G396">
        <v>59537.7</v>
      </c>
      <c r="H396" t="s">
        <v>537</v>
      </c>
      <c r="I396">
        <v>2026</v>
      </c>
      <c r="J396" t="str">
        <f>_xlfn.XLOOKUP(sales[[#This Row],[Product_ID]],products[Product_ID],products[Product_Name])</f>
        <v>Router 28</v>
      </c>
      <c r="K396" t="str">
        <f>_xlfn.XLOOKUP(sales[[#This Row],[Store_ID]],stores[Store_ID],stores[Store_Name])</f>
        <v>Hyderabad Store</v>
      </c>
      <c r="L396" t="str">
        <f>_xlfn.XLOOKUP(sales[[#This Row],[Customer_ID]],customers[Customer_ID],customers[Customer_Name])</f>
        <v>Sita_72</v>
      </c>
      <c r="M396" t="str">
        <f>IF(sales[[#This Row],[Total_Amount]]&gt;=50000,"High Sales","Low Sales")</f>
        <v>High Sales</v>
      </c>
      <c r="N396">
        <f>sales[[#This Row],[Total_Amount]]/sales[[#This Row],[Quantity]]</f>
        <v>11907.539999999999</v>
      </c>
    </row>
    <row r="397" spans="1:14" x14ac:dyDescent="0.3">
      <c r="A397" t="s">
        <v>1161</v>
      </c>
      <c r="B397">
        <v>1063</v>
      </c>
      <c r="C397" t="s">
        <v>69</v>
      </c>
      <c r="D397" t="s">
        <v>57</v>
      </c>
      <c r="E397" t="s">
        <v>1162</v>
      </c>
      <c r="F397">
        <v>3</v>
      </c>
      <c r="G397">
        <v>126204.75</v>
      </c>
      <c r="H397" t="s">
        <v>522</v>
      </c>
      <c r="I397">
        <v>2025</v>
      </c>
      <c r="J397" t="str">
        <f>_xlfn.XLOOKUP(sales[[#This Row],[Product_ID]],products[Product_ID],products[Product_Name])</f>
        <v>Headphones 1</v>
      </c>
      <c r="K397" t="str">
        <f>_xlfn.XLOOKUP(sales[[#This Row],[Store_ID]],stores[Store_ID],stores[Store_Name])</f>
        <v>Bengaluru Store</v>
      </c>
      <c r="L397" t="str">
        <f>_xlfn.XLOOKUP(sales[[#This Row],[Customer_ID]],customers[Customer_ID],customers[Customer_Name])</f>
        <v>Nikhil_63</v>
      </c>
      <c r="M397" t="str">
        <f>IF(sales[[#This Row],[Total_Amount]]&gt;=50000,"High Sales","Low Sales")</f>
        <v>High Sales</v>
      </c>
      <c r="N397">
        <f>sales[[#This Row],[Total_Amount]]/sales[[#This Row],[Quantity]]</f>
        <v>42068.25</v>
      </c>
    </row>
    <row r="398" spans="1:14" x14ac:dyDescent="0.3">
      <c r="A398" t="s">
        <v>1163</v>
      </c>
      <c r="B398">
        <v>1171</v>
      </c>
      <c r="C398" t="s">
        <v>110</v>
      </c>
      <c r="D398" t="s">
        <v>48</v>
      </c>
      <c r="E398" t="s">
        <v>1164</v>
      </c>
      <c r="F398">
        <v>1</v>
      </c>
      <c r="G398">
        <v>69634.81</v>
      </c>
      <c r="H398" t="s">
        <v>534</v>
      </c>
      <c r="I398">
        <v>2025</v>
      </c>
      <c r="J398" t="str">
        <f>_xlfn.XLOOKUP(sales[[#This Row],[Product_ID]],products[Product_ID],products[Product_Name])</f>
        <v>Keyboard 20</v>
      </c>
      <c r="K398" t="str">
        <f>_xlfn.XLOOKUP(sales[[#This Row],[Store_ID]],stores[Store_ID],stores[Store_Name])</f>
        <v>Visakhapatnam Store</v>
      </c>
      <c r="L398" t="str">
        <f>_xlfn.XLOOKUP(sales[[#This Row],[Customer_ID]],customers[Customer_ID],customers[Customer_Name])</f>
        <v>Priya_171</v>
      </c>
      <c r="M398" t="str">
        <f>IF(sales[[#This Row],[Total_Amount]]&gt;=50000,"High Sales","Low Sales")</f>
        <v>High Sales</v>
      </c>
      <c r="N398">
        <f>sales[[#This Row],[Total_Amount]]/sales[[#This Row],[Quantity]]</f>
        <v>69634.81</v>
      </c>
    </row>
    <row r="399" spans="1:14" x14ac:dyDescent="0.3">
      <c r="A399" t="s">
        <v>1165</v>
      </c>
      <c r="B399">
        <v>1094</v>
      </c>
      <c r="C399" t="s">
        <v>118</v>
      </c>
      <c r="D399" t="s">
        <v>48</v>
      </c>
      <c r="E399" t="s">
        <v>985</v>
      </c>
      <c r="F399">
        <v>4</v>
      </c>
      <c r="G399">
        <v>284246.36</v>
      </c>
      <c r="H399" t="s">
        <v>545</v>
      </c>
      <c r="I399">
        <v>2026</v>
      </c>
      <c r="J399" t="str">
        <f>_xlfn.XLOOKUP(sales[[#This Row],[Product_ID]],products[Product_ID],products[Product_Name])</f>
        <v>Tablet 24</v>
      </c>
      <c r="K399" t="str">
        <f>_xlfn.XLOOKUP(sales[[#This Row],[Store_ID]],stores[Store_ID],stores[Store_Name])</f>
        <v>Visakhapatnam Store</v>
      </c>
      <c r="L399" t="str">
        <f>_xlfn.XLOOKUP(sales[[#This Row],[Customer_ID]],customers[Customer_ID],customers[Customer_Name])</f>
        <v>Keerthi_94</v>
      </c>
      <c r="M399" t="str">
        <f>IF(sales[[#This Row],[Total_Amount]]&gt;=50000,"High Sales","Low Sales")</f>
        <v>High Sales</v>
      </c>
      <c r="N399">
        <f>sales[[#This Row],[Total_Amount]]/sales[[#This Row],[Quantity]]</f>
        <v>71061.59</v>
      </c>
    </row>
    <row r="400" spans="1:14" x14ac:dyDescent="0.3">
      <c r="A400" t="s">
        <v>1166</v>
      </c>
      <c r="B400">
        <v>1170</v>
      </c>
      <c r="C400" t="s">
        <v>86</v>
      </c>
      <c r="D400" t="s">
        <v>62</v>
      </c>
      <c r="E400" t="s">
        <v>1167</v>
      </c>
      <c r="F400">
        <v>3</v>
      </c>
      <c r="G400">
        <v>38608.65</v>
      </c>
      <c r="H400" t="s">
        <v>537</v>
      </c>
      <c r="I400">
        <v>2026</v>
      </c>
      <c r="J400" t="str">
        <f>_xlfn.XLOOKUP(sales[[#This Row],[Product_ID]],products[Product_ID],products[Product_Name])</f>
        <v>Laptop 8</v>
      </c>
      <c r="K400" t="str">
        <f>_xlfn.XLOOKUP(sales[[#This Row],[Store_ID]],stores[Store_ID],stores[Store_Name])</f>
        <v>Pune Store</v>
      </c>
      <c r="L400" t="str">
        <f>_xlfn.XLOOKUP(sales[[#This Row],[Customer_ID]],customers[Customer_ID],customers[Customer_Name])</f>
        <v>Ravi_170</v>
      </c>
      <c r="M400" t="str">
        <f>IF(sales[[#This Row],[Total_Amount]]&gt;=50000,"High Sales","Low Sales")</f>
        <v>Low Sales</v>
      </c>
      <c r="N400">
        <f>sales[[#This Row],[Total_Amount]]/sales[[#This Row],[Quantity]]</f>
        <v>12869.550000000001</v>
      </c>
    </row>
    <row r="401" spans="1:14" x14ac:dyDescent="0.3">
      <c r="A401" t="s">
        <v>1168</v>
      </c>
      <c r="B401">
        <v>1117</v>
      </c>
      <c r="C401" t="s">
        <v>110</v>
      </c>
      <c r="D401" t="s">
        <v>46</v>
      </c>
      <c r="E401" t="s">
        <v>778</v>
      </c>
      <c r="F401">
        <v>5</v>
      </c>
      <c r="G401">
        <v>261007</v>
      </c>
      <c r="H401" t="s">
        <v>534</v>
      </c>
      <c r="I401">
        <v>2025</v>
      </c>
      <c r="J401" t="str">
        <f>_xlfn.XLOOKUP(sales[[#This Row],[Product_ID]],products[Product_ID],products[Product_Name])</f>
        <v>Keyboard 20</v>
      </c>
      <c r="K401" t="str">
        <f>_xlfn.XLOOKUP(sales[[#This Row],[Store_ID]],stores[Store_ID],stores[Store_Name])</f>
        <v>Vijayawada Store</v>
      </c>
      <c r="L401" t="str">
        <f>_xlfn.XLOOKUP(sales[[#This Row],[Customer_ID]],customers[Customer_ID],customers[Customer_Name])</f>
        <v>Sneha_117</v>
      </c>
      <c r="M401" t="str">
        <f>IF(sales[[#This Row],[Total_Amount]]&gt;=50000,"High Sales","Low Sales")</f>
        <v>High Sales</v>
      </c>
      <c r="N401">
        <f>sales[[#This Row],[Total_Amount]]/sales[[#This Row],[Quantity]]</f>
        <v>52201.4</v>
      </c>
    </row>
    <row r="402" spans="1:14" x14ac:dyDescent="0.3">
      <c r="A402" t="s">
        <v>1169</v>
      </c>
      <c r="B402">
        <v>1184</v>
      </c>
      <c r="C402" t="s">
        <v>72</v>
      </c>
      <c r="D402" t="s">
        <v>48</v>
      </c>
      <c r="E402" t="s">
        <v>473</v>
      </c>
      <c r="F402">
        <v>1</v>
      </c>
      <c r="G402">
        <v>103551.37</v>
      </c>
      <c r="H402" t="s">
        <v>525</v>
      </c>
      <c r="I402">
        <v>2025</v>
      </c>
      <c r="J402" t="str">
        <f>_xlfn.XLOOKUP(sales[[#This Row],[Product_ID]],products[Product_ID],products[Product_Name])</f>
        <v>Headphones 2</v>
      </c>
      <c r="K402" t="str">
        <f>_xlfn.XLOOKUP(sales[[#This Row],[Store_ID]],stores[Store_ID],stores[Store_Name])</f>
        <v>Visakhapatnam Store</v>
      </c>
      <c r="L402" t="str">
        <f>_xlfn.XLOOKUP(sales[[#This Row],[Customer_ID]],customers[Customer_ID],customers[Customer_Name])</f>
        <v>Keerthi_184</v>
      </c>
      <c r="M402" t="str">
        <f>IF(sales[[#This Row],[Total_Amount]]&gt;=50000,"High Sales","Low Sales")</f>
        <v>High Sales</v>
      </c>
      <c r="N402">
        <f>sales[[#This Row],[Total_Amount]]/sales[[#This Row],[Quantity]]</f>
        <v>103551.37</v>
      </c>
    </row>
    <row r="403" spans="1:14" x14ac:dyDescent="0.3">
      <c r="A403" t="s">
        <v>1170</v>
      </c>
      <c r="B403">
        <v>1065</v>
      </c>
      <c r="C403" t="s">
        <v>104</v>
      </c>
      <c r="D403" t="s">
        <v>59</v>
      </c>
      <c r="E403" t="s">
        <v>1171</v>
      </c>
      <c r="F403">
        <v>5</v>
      </c>
      <c r="G403">
        <v>455660.7</v>
      </c>
      <c r="H403" t="s">
        <v>531</v>
      </c>
      <c r="I403">
        <v>2026</v>
      </c>
      <c r="J403" t="str">
        <f>_xlfn.XLOOKUP(sales[[#This Row],[Product_ID]],products[Product_ID],products[Product_Name])</f>
        <v>Mixer 17</v>
      </c>
      <c r="K403" t="str">
        <f>_xlfn.XLOOKUP(sales[[#This Row],[Store_ID]],stores[Store_ID],stores[Store_Name])</f>
        <v>Chennai Store</v>
      </c>
      <c r="L403" t="str">
        <f>_xlfn.XLOOKUP(sales[[#This Row],[Customer_ID]],customers[Customer_ID],customers[Customer_Name])</f>
        <v>Vikram_65</v>
      </c>
      <c r="M403" t="str">
        <f>IF(sales[[#This Row],[Total_Amount]]&gt;=50000,"High Sales","Low Sales")</f>
        <v>High Sales</v>
      </c>
      <c r="N403">
        <f>sales[[#This Row],[Total_Amount]]/sales[[#This Row],[Quantity]]</f>
        <v>91132.14</v>
      </c>
    </row>
    <row r="404" spans="1:14" x14ac:dyDescent="0.3">
      <c r="A404" t="s">
        <v>1172</v>
      </c>
      <c r="B404">
        <v>1091</v>
      </c>
      <c r="C404" t="s">
        <v>88</v>
      </c>
      <c r="D404" t="s">
        <v>50</v>
      </c>
      <c r="E404" t="s">
        <v>1173</v>
      </c>
      <c r="F404">
        <v>5</v>
      </c>
      <c r="G404">
        <v>209198.95</v>
      </c>
      <c r="H404" t="s">
        <v>528</v>
      </c>
      <c r="I404">
        <v>2025</v>
      </c>
      <c r="J404" t="str">
        <f>_xlfn.XLOOKUP(sales[[#This Row],[Product_ID]],products[Product_ID],products[Product_Name])</f>
        <v>Headphones 9</v>
      </c>
      <c r="K404" t="str">
        <f>_xlfn.XLOOKUP(sales[[#This Row],[Store_ID]],stores[Store_ID],stores[Store_Name])</f>
        <v>Guntur Store</v>
      </c>
      <c r="L404" t="str">
        <f>_xlfn.XLOOKUP(sales[[#This Row],[Customer_ID]],customers[Customer_ID],customers[Customer_Name])</f>
        <v>Anjali_91</v>
      </c>
      <c r="M404" t="str">
        <f>IF(sales[[#This Row],[Total_Amount]]&gt;=50000,"High Sales","Low Sales")</f>
        <v>High Sales</v>
      </c>
      <c r="N404">
        <f>sales[[#This Row],[Total_Amount]]/sales[[#This Row],[Quantity]]</f>
        <v>41839.79</v>
      </c>
    </row>
    <row r="405" spans="1:14" x14ac:dyDescent="0.3">
      <c r="A405" t="s">
        <v>1174</v>
      </c>
      <c r="B405">
        <v>1144</v>
      </c>
      <c r="C405" t="s">
        <v>98</v>
      </c>
      <c r="D405" t="s">
        <v>46</v>
      </c>
      <c r="E405" t="s">
        <v>1175</v>
      </c>
      <c r="F405">
        <v>2</v>
      </c>
      <c r="G405">
        <v>231606.8</v>
      </c>
      <c r="H405" t="s">
        <v>525</v>
      </c>
      <c r="I405">
        <v>2025</v>
      </c>
      <c r="J405" t="str">
        <f>_xlfn.XLOOKUP(sales[[#This Row],[Product_ID]],products[Product_ID],products[Product_Name])</f>
        <v>Camera 14</v>
      </c>
      <c r="K405" t="str">
        <f>_xlfn.XLOOKUP(sales[[#This Row],[Store_ID]],stores[Store_ID],stores[Store_Name])</f>
        <v>Vijayawada Store</v>
      </c>
      <c r="L405" t="str">
        <f>_xlfn.XLOOKUP(sales[[#This Row],[Customer_ID]],customers[Customer_ID],customers[Customer_Name])</f>
        <v>Ramesh_144</v>
      </c>
      <c r="M405" t="str">
        <f>IF(sales[[#This Row],[Total_Amount]]&gt;=50000,"High Sales","Low Sales")</f>
        <v>High Sales</v>
      </c>
      <c r="N405">
        <f>sales[[#This Row],[Total_Amount]]/sales[[#This Row],[Quantity]]</f>
        <v>115803.4</v>
      </c>
    </row>
    <row r="406" spans="1:14" x14ac:dyDescent="0.3">
      <c r="A406" t="s">
        <v>1176</v>
      </c>
      <c r="B406">
        <v>1115</v>
      </c>
      <c r="C406" t="s">
        <v>81</v>
      </c>
      <c r="D406" t="s">
        <v>48</v>
      </c>
      <c r="E406" t="s">
        <v>1177</v>
      </c>
      <c r="F406">
        <v>2</v>
      </c>
      <c r="G406">
        <v>176993.58</v>
      </c>
      <c r="H406" t="s">
        <v>558</v>
      </c>
      <c r="I406">
        <v>2026</v>
      </c>
      <c r="J406" t="str">
        <f>_xlfn.XLOOKUP(sales[[#This Row],[Product_ID]],products[Product_ID],products[Product_Name])</f>
        <v>Camera 6</v>
      </c>
      <c r="K406" t="str">
        <f>_xlfn.XLOOKUP(sales[[#This Row],[Store_ID]],stores[Store_ID],stores[Store_Name])</f>
        <v>Visakhapatnam Store</v>
      </c>
      <c r="L406" t="str">
        <f>_xlfn.XLOOKUP(sales[[#This Row],[Customer_ID]],customers[Customer_ID],customers[Customer_Name])</f>
        <v>Arjun_115</v>
      </c>
      <c r="M406" t="str">
        <f>IF(sales[[#This Row],[Total_Amount]]&gt;=50000,"High Sales","Low Sales")</f>
        <v>High Sales</v>
      </c>
      <c r="N406">
        <f>sales[[#This Row],[Total_Amount]]/sales[[#This Row],[Quantity]]</f>
        <v>88496.79</v>
      </c>
    </row>
    <row r="407" spans="1:14" x14ac:dyDescent="0.3">
      <c r="A407" t="s">
        <v>1178</v>
      </c>
      <c r="B407">
        <v>1176</v>
      </c>
      <c r="C407" t="s">
        <v>122</v>
      </c>
      <c r="D407" t="s">
        <v>42</v>
      </c>
      <c r="E407" t="s">
        <v>799</v>
      </c>
      <c r="F407">
        <v>4</v>
      </c>
      <c r="G407">
        <v>174861.32</v>
      </c>
      <c r="H407" t="s">
        <v>537</v>
      </c>
      <c r="I407">
        <v>2025</v>
      </c>
      <c r="J407" t="str">
        <f>_xlfn.XLOOKUP(sales[[#This Row],[Product_ID]],products[Product_ID],products[Product_Name])</f>
        <v>Router 26</v>
      </c>
      <c r="K407" t="str">
        <f>_xlfn.XLOOKUP(sales[[#This Row],[Store_ID]],stores[Store_ID],stores[Store_Name])</f>
        <v>Hyderabad Store</v>
      </c>
      <c r="L407" t="str">
        <f>_xlfn.XLOOKUP(sales[[#This Row],[Customer_ID]],customers[Customer_ID],customers[Customer_Name])</f>
        <v>Vikram_176</v>
      </c>
      <c r="M407" t="str">
        <f>IF(sales[[#This Row],[Total_Amount]]&gt;=50000,"High Sales","Low Sales")</f>
        <v>High Sales</v>
      </c>
      <c r="N407">
        <f>sales[[#This Row],[Total_Amount]]/sales[[#This Row],[Quantity]]</f>
        <v>43715.33</v>
      </c>
    </row>
    <row r="408" spans="1:14" x14ac:dyDescent="0.3">
      <c r="A408" t="s">
        <v>1179</v>
      </c>
      <c r="B408">
        <v>1108</v>
      </c>
      <c r="C408" t="s">
        <v>79</v>
      </c>
      <c r="D408" t="s">
        <v>62</v>
      </c>
      <c r="E408" t="s">
        <v>786</v>
      </c>
      <c r="F408">
        <v>4</v>
      </c>
      <c r="G408">
        <v>143288.16</v>
      </c>
      <c r="H408" t="s">
        <v>575</v>
      </c>
      <c r="I408">
        <v>2026</v>
      </c>
      <c r="J408" t="str">
        <f>_xlfn.XLOOKUP(sales[[#This Row],[Product_ID]],products[Product_ID],products[Product_Name])</f>
        <v>Smartphone 5</v>
      </c>
      <c r="K408" t="str">
        <f>_xlfn.XLOOKUP(sales[[#This Row],[Store_ID]],stores[Store_ID],stores[Store_Name])</f>
        <v>Pune Store</v>
      </c>
      <c r="L408" t="str">
        <f>_xlfn.XLOOKUP(sales[[#This Row],[Customer_ID]],customers[Customer_ID],customers[Customer_Name])</f>
        <v>Priya_108</v>
      </c>
      <c r="M408" t="str">
        <f>IF(sales[[#This Row],[Total_Amount]]&gt;=50000,"High Sales","Low Sales")</f>
        <v>High Sales</v>
      </c>
      <c r="N408">
        <f>sales[[#This Row],[Total_Amount]]/sales[[#This Row],[Quantity]]</f>
        <v>35822.04</v>
      </c>
    </row>
    <row r="409" spans="1:14" x14ac:dyDescent="0.3">
      <c r="A409" t="s">
        <v>1180</v>
      </c>
      <c r="B409">
        <v>1092</v>
      </c>
      <c r="C409" t="s">
        <v>116</v>
      </c>
      <c r="D409" t="s">
        <v>48</v>
      </c>
      <c r="E409" t="s">
        <v>266</v>
      </c>
      <c r="F409">
        <v>5</v>
      </c>
      <c r="G409">
        <v>309497.15000000002</v>
      </c>
      <c r="H409" t="s">
        <v>575</v>
      </c>
      <c r="I409">
        <v>2025</v>
      </c>
      <c r="J409" t="str">
        <f>_xlfn.XLOOKUP(sales[[#This Row],[Product_ID]],products[Product_ID],products[Product_Name])</f>
        <v>Microwave 23</v>
      </c>
      <c r="K409" t="str">
        <f>_xlfn.XLOOKUP(sales[[#This Row],[Store_ID]],stores[Store_ID],stores[Store_Name])</f>
        <v>Visakhapatnam Store</v>
      </c>
      <c r="L409" t="str">
        <f>_xlfn.XLOOKUP(sales[[#This Row],[Customer_ID]],customers[Customer_ID],customers[Customer_Name])</f>
        <v>Priya_92</v>
      </c>
      <c r="M409" t="str">
        <f>IF(sales[[#This Row],[Total_Amount]]&gt;=50000,"High Sales","Low Sales")</f>
        <v>High Sales</v>
      </c>
      <c r="N409">
        <f>sales[[#This Row],[Total_Amount]]/sales[[#This Row],[Quantity]]</f>
        <v>61899.430000000008</v>
      </c>
    </row>
    <row r="410" spans="1:14" x14ac:dyDescent="0.3">
      <c r="A410" t="s">
        <v>1181</v>
      </c>
      <c r="B410">
        <v>1061</v>
      </c>
      <c r="C410" t="s">
        <v>98</v>
      </c>
      <c r="D410" t="s">
        <v>53</v>
      </c>
      <c r="E410" t="s">
        <v>1182</v>
      </c>
      <c r="F410">
        <v>3</v>
      </c>
      <c r="G410">
        <v>179431.74</v>
      </c>
      <c r="H410" t="s">
        <v>561</v>
      </c>
      <c r="I410">
        <v>2025</v>
      </c>
      <c r="J410" t="str">
        <f>_xlfn.XLOOKUP(sales[[#This Row],[Product_ID]],products[Product_ID],products[Product_Name])</f>
        <v>Camera 14</v>
      </c>
      <c r="K410" t="str">
        <f>_xlfn.XLOOKUP(sales[[#This Row],[Store_ID]],stores[Store_ID],stores[Store_Name])</f>
        <v>Warangal Store</v>
      </c>
      <c r="L410" t="str">
        <f>_xlfn.XLOOKUP(sales[[#This Row],[Customer_ID]],customers[Customer_ID],customers[Customer_Name])</f>
        <v>Vikram_61</v>
      </c>
      <c r="M410" t="str">
        <f>IF(sales[[#This Row],[Total_Amount]]&gt;=50000,"High Sales","Low Sales")</f>
        <v>High Sales</v>
      </c>
      <c r="N410">
        <f>sales[[#This Row],[Total_Amount]]/sales[[#This Row],[Quantity]]</f>
        <v>59810.579999999994</v>
      </c>
    </row>
    <row r="411" spans="1:14" x14ac:dyDescent="0.3">
      <c r="A411" t="s">
        <v>1183</v>
      </c>
      <c r="B411">
        <v>1014</v>
      </c>
      <c r="C411" t="s">
        <v>88</v>
      </c>
      <c r="D411" t="s">
        <v>50</v>
      </c>
      <c r="E411" t="s">
        <v>1184</v>
      </c>
      <c r="F411">
        <v>3</v>
      </c>
      <c r="G411">
        <v>63736.44</v>
      </c>
      <c r="H411" t="s">
        <v>537</v>
      </c>
      <c r="I411">
        <v>2026</v>
      </c>
      <c r="J411" t="str">
        <f>_xlfn.XLOOKUP(sales[[#This Row],[Product_ID]],products[Product_ID],products[Product_Name])</f>
        <v>Headphones 9</v>
      </c>
      <c r="K411" t="str">
        <f>_xlfn.XLOOKUP(sales[[#This Row],[Store_ID]],stores[Store_ID],stores[Store_Name])</f>
        <v>Guntur Store</v>
      </c>
      <c r="L411" t="str">
        <f>_xlfn.XLOOKUP(sales[[#This Row],[Customer_ID]],customers[Customer_ID],customers[Customer_Name])</f>
        <v>Arjun_14</v>
      </c>
      <c r="M411" t="str">
        <f>IF(sales[[#This Row],[Total_Amount]]&gt;=50000,"High Sales","Low Sales")</f>
        <v>High Sales</v>
      </c>
      <c r="N411">
        <f>sales[[#This Row],[Total_Amount]]/sales[[#This Row],[Quantity]]</f>
        <v>21245.48</v>
      </c>
    </row>
    <row r="412" spans="1:14" x14ac:dyDescent="0.3">
      <c r="A412" t="s">
        <v>1185</v>
      </c>
      <c r="B412">
        <v>1158</v>
      </c>
      <c r="C412" t="s">
        <v>90</v>
      </c>
      <c r="D412" t="s">
        <v>57</v>
      </c>
      <c r="E412" t="s">
        <v>893</v>
      </c>
      <c r="F412">
        <v>3</v>
      </c>
      <c r="G412">
        <v>309779.40000000002</v>
      </c>
      <c r="H412" t="s">
        <v>572</v>
      </c>
      <c r="I412">
        <v>2025</v>
      </c>
      <c r="J412" t="str">
        <f>_xlfn.XLOOKUP(sales[[#This Row],[Product_ID]],products[Product_ID],products[Product_Name])</f>
        <v>Camera 10</v>
      </c>
      <c r="K412" t="str">
        <f>_xlfn.XLOOKUP(sales[[#This Row],[Store_ID]],stores[Store_ID],stores[Store_Name])</f>
        <v>Bengaluru Store</v>
      </c>
      <c r="L412" t="str">
        <f>_xlfn.XLOOKUP(sales[[#This Row],[Customer_ID]],customers[Customer_ID],customers[Customer_Name])</f>
        <v>Akhil_158</v>
      </c>
      <c r="M412" t="str">
        <f>IF(sales[[#This Row],[Total_Amount]]&gt;=50000,"High Sales","Low Sales")</f>
        <v>High Sales</v>
      </c>
      <c r="N412">
        <f>sales[[#This Row],[Total_Amount]]/sales[[#This Row],[Quantity]]</f>
        <v>103259.8</v>
      </c>
    </row>
    <row r="413" spans="1:14" x14ac:dyDescent="0.3">
      <c r="A413" t="s">
        <v>1186</v>
      </c>
      <c r="B413">
        <v>1067</v>
      </c>
      <c r="C413" t="s">
        <v>88</v>
      </c>
      <c r="D413" t="s">
        <v>46</v>
      </c>
      <c r="E413" t="s">
        <v>180</v>
      </c>
      <c r="F413">
        <v>4</v>
      </c>
      <c r="G413">
        <v>53656.36</v>
      </c>
      <c r="H413" t="s">
        <v>540</v>
      </c>
      <c r="I413">
        <v>2025</v>
      </c>
      <c r="J413" t="str">
        <f>_xlfn.XLOOKUP(sales[[#This Row],[Product_ID]],products[Product_ID],products[Product_Name])</f>
        <v>Headphones 9</v>
      </c>
      <c r="K413" t="str">
        <f>_xlfn.XLOOKUP(sales[[#This Row],[Store_ID]],stores[Store_ID],stores[Store_Name])</f>
        <v>Vijayawada Store</v>
      </c>
      <c r="L413" t="str">
        <f>_xlfn.XLOOKUP(sales[[#This Row],[Customer_ID]],customers[Customer_ID],customers[Customer_Name])</f>
        <v>Ramesh_67</v>
      </c>
      <c r="M413" t="str">
        <f>IF(sales[[#This Row],[Total_Amount]]&gt;=50000,"High Sales","Low Sales")</f>
        <v>High Sales</v>
      </c>
      <c r="N413">
        <f>sales[[#This Row],[Total_Amount]]/sales[[#This Row],[Quantity]]</f>
        <v>13414.09</v>
      </c>
    </row>
    <row r="414" spans="1:14" x14ac:dyDescent="0.3">
      <c r="A414" t="s">
        <v>1187</v>
      </c>
      <c r="B414">
        <v>1079</v>
      </c>
      <c r="C414" t="s">
        <v>84</v>
      </c>
      <c r="D414" t="s">
        <v>59</v>
      </c>
      <c r="E414" t="s">
        <v>1188</v>
      </c>
      <c r="F414">
        <v>3</v>
      </c>
      <c r="G414">
        <v>51773.25</v>
      </c>
      <c r="H414" t="s">
        <v>575</v>
      </c>
      <c r="I414">
        <v>2025</v>
      </c>
      <c r="J414" t="str">
        <f>_xlfn.XLOOKUP(sales[[#This Row],[Product_ID]],products[Product_ID],products[Product_Name])</f>
        <v>Headphones 7</v>
      </c>
      <c r="K414" t="str">
        <f>_xlfn.XLOOKUP(sales[[#This Row],[Store_ID]],stores[Store_ID],stores[Store_Name])</f>
        <v>Chennai Store</v>
      </c>
      <c r="L414" t="str">
        <f>_xlfn.XLOOKUP(sales[[#This Row],[Customer_ID]],customers[Customer_ID],customers[Customer_Name])</f>
        <v>Priya_79</v>
      </c>
      <c r="M414" t="str">
        <f>IF(sales[[#This Row],[Total_Amount]]&gt;=50000,"High Sales","Low Sales")</f>
        <v>High Sales</v>
      </c>
      <c r="N414">
        <f>sales[[#This Row],[Total_Amount]]/sales[[#This Row],[Quantity]]</f>
        <v>17257.75</v>
      </c>
    </row>
    <row r="415" spans="1:14" x14ac:dyDescent="0.3">
      <c r="A415" t="s">
        <v>1189</v>
      </c>
      <c r="B415">
        <v>1168</v>
      </c>
      <c r="C415" t="s">
        <v>72</v>
      </c>
      <c r="D415" t="s">
        <v>59</v>
      </c>
      <c r="E415" t="s">
        <v>216</v>
      </c>
      <c r="F415">
        <v>2</v>
      </c>
      <c r="G415">
        <v>113815.56</v>
      </c>
      <c r="H415" t="s">
        <v>575</v>
      </c>
      <c r="I415">
        <v>2025</v>
      </c>
      <c r="J415" t="str">
        <f>_xlfn.XLOOKUP(sales[[#This Row],[Product_ID]],products[Product_ID],products[Product_Name])</f>
        <v>Headphones 2</v>
      </c>
      <c r="K415" t="str">
        <f>_xlfn.XLOOKUP(sales[[#This Row],[Store_ID]],stores[Store_ID],stores[Store_Name])</f>
        <v>Chennai Store</v>
      </c>
      <c r="L415" t="str">
        <f>_xlfn.XLOOKUP(sales[[#This Row],[Customer_ID]],customers[Customer_ID],customers[Customer_Name])</f>
        <v>Ramesh_168</v>
      </c>
      <c r="M415" t="str">
        <f>IF(sales[[#This Row],[Total_Amount]]&gt;=50000,"High Sales","Low Sales")</f>
        <v>High Sales</v>
      </c>
      <c r="N415">
        <f>sales[[#This Row],[Total_Amount]]/sales[[#This Row],[Quantity]]</f>
        <v>56907.78</v>
      </c>
    </row>
    <row r="416" spans="1:14" x14ac:dyDescent="0.3">
      <c r="A416" t="s">
        <v>1190</v>
      </c>
      <c r="B416">
        <v>1038</v>
      </c>
      <c r="C416" t="s">
        <v>122</v>
      </c>
      <c r="D416" t="s">
        <v>48</v>
      </c>
      <c r="E416" t="s">
        <v>593</v>
      </c>
      <c r="F416">
        <v>5</v>
      </c>
      <c r="G416">
        <v>435963.2</v>
      </c>
      <c r="H416" t="s">
        <v>537</v>
      </c>
      <c r="I416">
        <v>2026</v>
      </c>
      <c r="J416" t="str">
        <f>_xlfn.XLOOKUP(sales[[#This Row],[Product_ID]],products[Product_ID],products[Product_Name])</f>
        <v>Router 26</v>
      </c>
      <c r="K416" t="str">
        <f>_xlfn.XLOOKUP(sales[[#This Row],[Store_ID]],stores[Store_ID],stores[Store_Name])</f>
        <v>Visakhapatnam Store</v>
      </c>
      <c r="L416" t="str">
        <f>_xlfn.XLOOKUP(sales[[#This Row],[Customer_ID]],customers[Customer_ID],customers[Customer_Name])</f>
        <v>Rahul_38</v>
      </c>
      <c r="M416" t="str">
        <f>IF(sales[[#This Row],[Total_Amount]]&gt;=50000,"High Sales","Low Sales")</f>
        <v>High Sales</v>
      </c>
      <c r="N416">
        <f>sales[[#This Row],[Total_Amount]]/sales[[#This Row],[Quantity]]</f>
        <v>87192.639999999999</v>
      </c>
    </row>
    <row r="417" spans="1:14" x14ac:dyDescent="0.3">
      <c r="A417" t="s">
        <v>1191</v>
      </c>
      <c r="B417">
        <v>1144</v>
      </c>
      <c r="C417" t="s">
        <v>110</v>
      </c>
      <c r="D417" t="s">
        <v>42</v>
      </c>
      <c r="E417" t="s">
        <v>1192</v>
      </c>
      <c r="F417">
        <v>2</v>
      </c>
      <c r="G417">
        <v>1147.96</v>
      </c>
      <c r="H417" t="s">
        <v>531</v>
      </c>
      <c r="I417">
        <v>2026</v>
      </c>
      <c r="J417" t="str">
        <f>_xlfn.XLOOKUP(sales[[#This Row],[Product_ID]],products[Product_ID],products[Product_Name])</f>
        <v>Keyboard 20</v>
      </c>
      <c r="K417" t="str">
        <f>_xlfn.XLOOKUP(sales[[#This Row],[Store_ID]],stores[Store_ID],stores[Store_Name])</f>
        <v>Hyderabad Store</v>
      </c>
      <c r="L417" t="str">
        <f>_xlfn.XLOOKUP(sales[[#This Row],[Customer_ID]],customers[Customer_ID],customers[Customer_Name])</f>
        <v>Ramesh_144</v>
      </c>
      <c r="M417" t="str">
        <f>IF(sales[[#This Row],[Total_Amount]]&gt;=50000,"High Sales","Low Sales")</f>
        <v>Low Sales</v>
      </c>
      <c r="N417">
        <f>sales[[#This Row],[Total_Amount]]/sales[[#This Row],[Quantity]]</f>
        <v>573.98</v>
      </c>
    </row>
    <row r="418" spans="1:14" x14ac:dyDescent="0.3">
      <c r="A418" t="s">
        <v>1193</v>
      </c>
      <c r="B418">
        <v>1046</v>
      </c>
      <c r="C418" t="s">
        <v>116</v>
      </c>
      <c r="D418" t="s">
        <v>53</v>
      </c>
      <c r="E418" t="s">
        <v>180</v>
      </c>
      <c r="F418">
        <v>2</v>
      </c>
      <c r="G418">
        <v>11559.64</v>
      </c>
      <c r="H418" t="s">
        <v>540</v>
      </c>
      <c r="I418">
        <v>2025</v>
      </c>
      <c r="J418" t="str">
        <f>_xlfn.XLOOKUP(sales[[#This Row],[Product_ID]],products[Product_ID],products[Product_Name])</f>
        <v>Microwave 23</v>
      </c>
      <c r="K418" t="str">
        <f>_xlfn.XLOOKUP(sales[[#This Row],[Store_ID]],stores[Store_ID],stores[Store_Name])</f>
        <v>Warangal Store</v>
      </c>
      <c r="L418" t="str">
        <f>_xlfn.XLOOKUP(sales[[#This Row],[Customer_ID]],customers[Customer_ID],customers[Customer_Name])</f>
        <v>Divya_46</v>
      </c>
      <c r="M418" t="str">
        <f>IF(sales[[#This Row],[Total_Amount]]&gt;=50000,"High Sales","Low Sales")</f>
        <v>Low Sales</v>
      </c>
      <c r="N418">
        <f>sales[[#This Row],[Total_Amount]]/sales[[#This Row],[Quantity]]</f>
        <v>5779.82</v>
      </c>
    </row>
    <row r="419" spans="1:14" x14ac:dyDescent="0.3">
      <c r="A419" t="s">
        <v>1194</v>
      </c>
      <c r="B419">
        <v>1027</v>
      </c>
      <c r="C419" t="s">
        <v>118</v>
      </c>
      <c r="D419" t="s">
        <v>59</v>
      </c>
      <c r="E419" t="s">
        <v>696</v>
      </c>
      <c r="F419">
        <v>1</v>
      </c>
      <c r="G419">
        <v>34984.870000000003</v>
      </c>
      <c r="H419" t="s">
        <v>528</v>
      </c>
      <c r="I419">
        <v>2025</v>
      </c>
      <c r="J419" t="str">
        <f>_xlfn.XLOOKUP(sales[[#This Row],[Product_ID]],products[Product_ID],products[Product_Name])</f>
        <v>Tablet 24</v>
      </c>
      <c r="K419" t="str">
        <f>_xlfn.XLOOKUP(sales[[#This Row],[Store_ID]],stores[Store_ID],stores[Store_Name])</f>
        <v>Chennai Store</v>
      </c>
      <c r="L419" t="str">
        <f>_xlfn.XLOOKUP(sales[[#This Row],[Customer_ID]],customers[Customer_ID],customers[Customer_Name])</f>
        <v>Sita_27</v>
      </c>
      <c r="M419" t="str">
        <f>IF(sales[[#This Row],[Total_Amount]]&gt;=50000,"High Sales","Low Sales")</f>
        <v>Low Sales</v>
      </c>
      <c r="N419">
        <f>sales[[#This Row],[Total_Amount]]/sales[[#This Row],[Quantity]]</f>
        <v>34984.870000000003</v>
      </c>
    </row>
    <row r="420" spans="1:14" x14ac:dyDescent="0.3">
      <c r="A420" t="s">
        <v>1195</v>
      </c>
      <c r="B420">
        <v>1040</v>
      </c>
      <c r="C420" t="s">
        <v>124</v>
      </c>
      <c r="D420" t="s">
        <v>57</v>
      </c>
      <c r="E420" t="s">
        <v>1196</v>
      </c>
      <c r="F420">
        <v>4</v>
      </c>
      <c r="G420">
        <v>198116.36</v>
      </c>
      <c r="H420" t="s">
        <v>525</v>
      </c>
      <c r="I420">
        <v>2026</v>
      </c>
      <c r="J420" t="str">
        <f>_xlfn.XLOOKUP(sales[[#This Row],[Product_ID]],products[Product_ID],products[Product_Name])</f>
        <v>Mixer 27</v>
      </c>
      <c r="K420" t="str">
        <f>_xlfn.XLOOKUP(sales[[#This Row],[Store_ID]],stores[Store_ID],stores[Store_Name])</f>
        <v>Bengaluru Store</v>
      </c>
      <c r="L420" t="str">
        <f>_xlfn.XLOOKUP(sales[[#This Row],[Customer_ID]],customers[Customer_ID],customers[Customer_Name])</f>
        <v>Sneha_40</v>
      </c>
      <c r="M420" t="str">
        <f>IF(sales[[#This Row],[Total_Amount]]&gt;=50000,"High Sales","Low Sales")</f>
        <v>High Sales</v>
      </c>
      <c r="N420">
        <f>sales[[#This Row],[Total_Amount]]/sales[[#This Row],[Quantity]]</f>
        <v>49529.09</v>
      </c>
    </row>
    <row r="421" spans="1:14" x14ac:dyDescent="0.3">
      <c r="A421" t="s">
        <v>1197</v>
      </c>
      <c r="B421">
        <v>1160</v>
      </c>
      <c r="C421" t="s">
        <v>108</v>
      </c>
      <c r="D421" t="s">
        <v>42</v>
      </c>
      <c r="E421" t="s">
        <v>583</v>
      </c>
      <c r="F421">
        <v>3</v>
      </c>
      <c r="G421">
        <v>62498.85</v>
      </c>
      <c r="H421" t="s">
        <v>534</v>
      </c>
      <c r="I421">
        <v>2025</v>
      </c>
      <c r="J421" t="str">
        <f>_xlfn.XLOOKUP(sales[[#This Row],[Product_ID]],products[Product_ID],products[Product_Name])</f>
        <v>Mouse 19</v>
      </c>
      <c r="K421" t="str">
        <f>_xlfn.XLOOKUP(sales[[#This Row],[Store_ID]],stores[Store_ID],stores[Store_Name])</f>
        <v>Hyderabad Store</v>
      </c>
      <c r="L421" t="str">
        <f>_xlfn.XLOOKUP(sales[[#This Row],[Customer_ID]],customers[Customer_ID],customers[Customer_Name])</f>
        <v>Priya_160</v>
      </c>
      <c r="M421" t="str">
        <f>IF(sales[[#This Row],[Total_Amount]]&gt;=50000,"High Sales","Low Sales")</f>
        <v>High Sales</v>
      </c>
      <c r="N421">
        <f>sales[[#This Row],[Total_Amount]]/sales[[#This Row],[Quantity]]</f>
        <v>20832.95</v>
      </c>
    </row>
    <row r="422" spans="1:14" x14ac:dyDescent="0.3">
      <c r="A422" t="s">
        <v>1198</v>
      </c>
      <c r="B422">
        <v>1191</v>
      </c>
      <c r="C422" t="s">
        <v>102</v>
      </c>
      <c r="D422" t="s">
        <v>48</v>
      </c>
      <c r="E422" t="s">
        <v>893</v>
      </c>
      <c r="F422">
        <v>4</v>
      </c>
      <c r="G422">
        <v>60892.68</v>
      </c>
      <c r="H422" t="s">
        <v>572</v>
      </c>
      <c r="I422">
        <v>2025</v>
      </c>
      <c r="J422" t="str">
        <f>_xlfn.XLOOKUP(sales[[#This Row],[Product_ID]],products[Product_ID],products[Product_Name])</f>
        <v>Power Bank 16</v>
      </c>
      <c r="K422" t="str">
        <f>_xlfn.XLOOKUP(sales[[#This Row],[Store_ID]],stores[Store_ID],stores[Store_Name])</f>
        <v>Visakhapatnam Store</v>
      </c>
      <c r="L422" t="str">
        <f>_xlfn.XLOOKUP(sales[[#This Row],[Customer_ID]],customers[Customer_ID],customers[Customer_Name])</f>
        <v>Akhil_191</v>
      </c>
      <c r="M422" t="str">
        <f>IF(sales[[#This Row],[Total_Amount]]&gt;=50000,"High Sales","Low Sales")</f>
        <v>High Sales</v>
      </c>
      <c r="N422">
        <f>sales[[#This Row],[Total_Amount]]/sales[[#This Row],[Quantity]]</f>
        <v>15223.17</v>
      </c>
    </row>
    <row r="423" spans="1:14" x14ac:dyDescent="0.3">
      <c r="A423" t="s">
        <v>1199</v>
      </c>
      <c r="B423">
        <v>1011</v>
      </c>
      <c r="C423" t="s">
        <v>86</v>
      </c>
      <c r="D423" t="s">
        <v>48</v>
      </c>
      <c r="E423" t="s">
        <v>226</v>
      </c>
      <c r="F423">
        <v>4</v>
      </c>
      <c r="G423">
        <v>259842.68</v>
      </c>
      <c r="H423" t="s">
        <v>540</v>
      </c>
      <c r="I423">
        <v>2025</v>
      </c>
      <c r="J423" t="str">
        <f>_xlfn.XLOOKUP(sales[[#This Row],[Product_ID]],products[Product_ID],products[Product_Name])</f>
        <v>Laptop 8</v>
      </c>
      <c r="K423" t="str">
        <f>_xlfn.XLOOKUP(sales[[#This Row],[Store_ID]],stores[Store_ID],stores[Store_Name])</f>
        <v>Visakhapatnam Store</v>
      </c>
      <c r="L423" t="str">
        <f>_xlfn.XLOOKUP(sales[[#This Row],[Customer_ID]],customers[Customer_ID],customers[Customer_Name])</f>
        <v>Divya_11</v>
      </c>
      <c r="M423" t="str">
        <f>IF(sales[[#This Row],[Total_Amount]]&gt;=50000,"High Sales","Low Sales")</f>
        <v>High Sales</v>
      </c>
      <c r="N423">
        <f>sales[[#This Row],[Total_Amount]]/sales[[#This Row],[Quantity]]</f>
        <v>64960.67</v>
      </c>
    </row>
    <row r="424" spans="1:14" x14ac:dyDescent="0.3">
      <c r="A424" t="s">
        <v>1200</v>
      </c>
      <c r="B424">
        <v>1133</v>
      </c>
      <c r="C424" t="s">
        <v>122</v>
      </c>
      <c r="D424" t="s">
        <v>62</v>
      </c>
      <c r="E424" t="s">
        <v>1201</v>
      </c>
      <c r="F424">
        <v>4</v>
      </c>
      <c r="G424">
        <v>406409.44</v>
      </c>
      <c r="H424" t="s">
        <v>534</v>
      </c>
      <c r="I424">
        <v>2025</v>
      </c>
      <c r="J424" t="str">
        <f>_xlfn.XLOOKUP(sales[[#This Row],[Product_ID]],products[Product_ID],products[Product_Name])</f>
        <v>Router 26</v>
      </c>
      <c r="K424" t="str">
        <f>_xlfn.XLOOKUP(sales[[#This Row],[Store_ID]],stores[Store_ID],stores[Store_Name])</f>
        <v>Pune Store</v>
      </c>
      <c r="L424" t="str">
        <f>_xlfn.XLOOKUP(sales[[#This Row],[Customer_ID]],customers[Customer_ID],customers[Customer_Name])</f>
        <v>Akhil_133</v>
      </c>
      <c r="M424" t="str">
        <f>IF(sales[[#This Row],[Total_Amount]]&gt;=50000,"High Sales","Low Sales")</f>
        <v>High Sales</v>
      </c>
      <c r="N424">
        <f>sales[[#This Row],[Total_Amount]]/sales[[#This Row],[Quantity]]</f>
        <v>101602.36</v>
      </c>
    </row>
    <row r="425" spans="1:14" x14ac:dyDescent="0.3">
      <c r="A425" t="s">
        <v>1202</v>
      </c>
      <c r="B425">
        <v>1148</v>
      </c>
      <c r="C425" t="s">
        <v>128</v>
      </c>
      <c r="D425" t="s">
        <v>62</v>
      </c>
      <c r="E425" t="s">
        <v>551</v>
      </c>
      <c r="F425">
        <v>3</v>
      </c>
      <c r="G425">
        <v>343212.36</v>
      </c>
      <c r="H425" t="s">
        <v>534</v>
      </c>
      <c r="I425">
        <v>2025</v>
      </c>
      <c r="J425" t="str">
        <f>_xlfn.XLOOKUP(sales[[#This Row],[Product_ID]],products[Product_ID],products[Product_Name])</f>
        <v>Printer 29</v>
      </c>
      <c r="K425" t="str">
        <f>_xlfn.XLOOKUP(sales[[#This Row],[Store_ID]],stores[Store_ID],stores[Store_Name])</f>
        <v>Pune Store</v>
      </c>
      <c r="L425" t="str">
        <f>_xlfn.XLOOKUP(sales[[#This Row],[Customer_ID]],customers[Customer_ID],customers[Customer_Name])</f>
        <v>Priya_148</v>
      </c>
      <c r="M425" t="str">
        <f>IF(sales[[#This Row],[Total_Amount]]&gt;=50000,"High Sales","Low Sales")</f>
        <v>High Sales</v>
      </c>
      <c r="N425">
        <f>sales[[#This Row],[Total_Amount]]/sales[[#This Row],[Quantity]]</f>
        <v>114404.12</v>
      </c>
    </row>
    <row r="426" spans="1:14" x14ac:dyDescent="0.3">
      <c r="A426" t="s">
        <v>1203</v>
      </c>
      <c r="B426">
        <v>1056</v>
      </c>
      <c r="C426" t="s">
        <v>110</v>
      </c>
      <c r="D426" t="s">
        <v>59</v>
      </c>
      <c r="E426" t="s">
        <v>960</v>
      </c>
      <c r="F426">
        <v>2</v>
      </c>
      <c r="G426">
        <v>51961.34</v>
      </c>
      <c r="H426" t="s">
        <v>531</v>
      </c>
      <c r="I426">
        <v>2026</v>
      </c>
      <c r="J426" t="str">
        <f>_xlfn.XLOOKUP(sales[[#This Row],[Product_ID]],products[Product_ID],products[Product_Name])</f>
        <v>Keyboard 20</v>
      </c>
      <c r="K426" t="str">
        <f>_xlfn.XLOOKUP(sales[[#This Row],[Store_ID]],stores[Store_ID],stores[Store_Name])</f>
        <v>Chennai Store</v>
      </c>
      <c r="L426" t="str">
        <f>_xlfn.XLOOKUP(sales[[#This Row],[Customer_ID]],customers[Customer_ID],customers[Customer_Name])</f>
        <v>Vikram_56</v>
      </c>
      <c r="M426" t="str">
        <f>IF(sales[[#This Row],[Total_Amount]]&gt;=50000,"High Sales","Low Sales")</f>
        <v>High Sales</v>
      </c>
      <c r="N426">
        <f>sales[[#This Row],[Total_Amount]]/sales[[#This Row],[Quantity]]</f>
        <v>25980.67</v>
      </c>
    </row>
    <row r="427" spans="1:14" x14ac:dyDescent="0.3">
      <c r="A427" t="s">
        <v>1204</v>
      </c>
      <c r="B427">
        <v>1109</v>
      </c>
      <c r="C427" t="s">
        <v>81</v>
      </c>
      <c r="D427" t="s">
        <v>48</v>
      </c>
      <c r="E427" t="s">
        <v>1205</v>
      </c>
      <c r="F427">
        <v>4</v>
      </c>
      <c r="G427">
        <v>424271.35999999999</v>
      </c>
      <c r="H427" t="s">
        <v>561</v>
      </c>
      <c r="I427">
        <v>2025</v>
      </c>
      <c r="J427" t="str">
        <f>_xlfn.XLOOKUP(sales[[#This Row],[Product_ID]],products[Product_ID],products[Product_Name])</f>
        <v>Camera 6</v>
      </c>
      <c r="K427" t="str">
        <f>_xlfn.XLOOKUP(sales[[#This Row],[Store_ID]],stores[Store_ID],stores[Store_Name])</f>
        <v>Visakhapatnam Store</v>
      </c>
      <c r="L427" t="str">
        <f>_xlfn.XLOOKUP(sales[[#This Row],[Customer_ID]],customers[Customer_ID],customers[Customer_Name])</f>
        <v>Sita_109</v>
      </c>
      <c r="M427" t="str">
        <f>IF(sales[[#This Row],[Total_Amount]]&gt;=50000,"High Sales","Low Sales")</f>
        <v>High Sales</v>
      </c>
      <c r="N427">
        <f>sales[[#This Row],[Total_Amount]]/sales[[#This Row],[Quantity]]</f>
        <v>106067.84</v>
      </c>
    </row>
    <row r="428" spans="1:14" x14ac:dyDescent="0.3">
      <c r="A428" t="s">
        <v>1206</v>
      </c>
      <c r="B428">
        <v>1056</v>
      </c>
      <c r="C428" t="s">
        <v>122</v>
      </c>
      <c r="D428" t="s">
        <v>42</v>
      </c>
      <c r="E428" t="s">
        <v>1207</v>
      </c>
      <c r="F428">
        <v>3</v>
      </c>
      <c r="G428">
        <v>346731.87</v>
      </c>
      <c r="H428" t="s">
        <v>528</v>
      </c>
      <c r="I428">
        <v>2025</v>
      </c>
      <c r="J428" t="str">
        <f>_xlfn.XLOOKUP(sales[[#This Row],[Product_ID]],products[Product_ID],products[Product_Name])</f>
        <v>Router 26</v>
      </c>
      <c r="K428" t="str">
        <f>_xlfn.XLOOKUP(sales[[#This Row],[Store_ID]],stores[Store_ID],stores[Store_Name])</f>
        <v>Hyderabad Store</v>
      </c>
      <c r="L428" t="str">
        <f>_xlfn.XLOOKUP(sales[[#This Row],[Customer_ID]],customers[Customer_ID],customers[Customer_Name])</f>
        <v>Vikram_56</v>
      </c>
      <c r="M428" t="str">
        <f>IF(sales[[#This Row],[Total_Amount]]&gt;=50000,"High Sales","Low Sales")</f>
        <v>High Sales</v>
      </c>
      <c r="N428">
        <f>sales[[#This Row],[Total_Amount]]/sales[[#This Row],[Quantity]]</f>
        <v>115577.29</v>
      </c>
    </row>
    <row r="429" spans="1:14" x14ac:dyDescent="0.3">
      <c r="A429" t="s">
        <v>1208</v>
      </c>
      <c r="B429">
        <v>1157</v>
      </c>
      <c r="C429" t="s">
        <v>122</v>
      </c>
      <c r="D429" t="s">
        <v>53</v>
      </c>
      <c r="E429" t="s">
        <v>1209</v>
      </c>
      <c r="F429">
        <v>5</v>
      </c>
      <c r="G429">
        <v>132094.95000000001</v>
      </c>
      <c r="H429" t="s">
        <v>537</v>
      </c>
      <c r="I429">
        <v>2026</v>
      </c>
      <c r="J429" t="str">
        <f>_xlfn.XLOOKUP(sales[[#This Row],[Product_ID]],products[Product_ID],products[Product_Name])</f>
        <v>Router 26</v>
      </c>
      <c r="K429" t="str">
        <f>_xlfn.XLOOKUP(sales[[#This Row],[Store_ID]],stores[Store_ID],stores[Store_Name])</f>
        <v>Warangal Store</v>
      </c>
      <c r="L429" t="str">
        <f>_xlfn.XLOOKUP(sales[[#This Row],[Customer_ID]],customers[Customer_ID],customers[Customer_Name])</f>
        <v>Nikhil_157</v>
      </c>
      <c r="M429" t="str">
        <f>IF(sales[[#This Row],[Total_Amount]]&gt;=50000,"High Sales","Low Sales")</f>
        <v>High Sales</v>
      </c>
      <c r="N429">
        <f>sales[[#This Row],[Total_Amount]]/sales[[#This Row],[Quantity]]</f>
        <v>26418.99</v>
      </c>
    </row>
    <row r="430" spans="1:14" x14ac:dyDescent="0.3">
      <c r="A430" t="s">
        <v>1210</v>
      </c>
      <c r="B430">
        <v>1088</v>
      </c>
      <c r="C430" t="s">
        <v>102</v>
      </c>
      <c r="D430" t="s">
        <v>57</v>
      </c>
      <c r="E430" t="s">
        <v>334</v>
      </c>
      <c r="F430">
        <v>5</v>
      </c>
      <c r="G430">
        <v>433936.9</v>
      </c>
      <c r="H430" t="s">
        <v>531</v>
      </c>
      <c r="I430">
        <v>2025</v>
      </c>
      <c r="J430" t="str">
        <f>_xlfn.XLOOKUP(sales[[#This Row],[Product_ID]],products[Product_ID],products[Product_Name])</f>
        <v>Power Bank 16</v>
      </c>
      <c r="K430" t="str">
        <f>_xlfn.XLOOKUP(sales[[#This Row],[Store_ID]],stores[Store_ID],stores[Store_Name])</f>
        <v>Bengaluru Store</v>
      </c>
      <c r="L430" t="str">
        <f>_xlfn.XLOOKUP(sales[[#This Row],[Customer_ID]],customers[Customer_ID],customers[Customer_Name])</f>
        <v>Anjali_88</v>
      </c>
      <c r="M430" t="str">
        <f>IF(sales[[#This Row],[Total_Amount]]&gt;=50000,"High Sales","Low Sales")</f>
        <v>High Sales</v>
      </c>
      <c r="N430">
        <f>sales[[#This Row],[Total_Amount]]/sales[[#This Row],[Quantity]]</f>
        <v>86787.38</v>
      </c>
    </row>
    <row r="431" spans="1:14" x14ac:dyDescent="0.3">
      <c r="A431" t="s">
        <v>1211</v>
      </c>
      <c r="B431">
        <v>1093</v>
      </c>
      <c r="C431" t="s">
        <v>75</v>
      </c>
      <c r="D431" t="s">
        <v>57</v>
      </c>
      <c r="E431" t="s">
        <v>654</v>
      </c>
      <c r="F431">
        <v>3</v>
      </c>
      <c r="G431">
        <v>89766.21</v>
      </c>
      <c r="H431" t="s">
        <v>575</v>
      </c>
      <c r="I431">
        <v>2025</v>
      </c>
      <c r="J431" t="str">
        <f>_xlfn.XLOOKUP(sales[[#This Row],[Product_ID]],products[Product_ID],products[Product_Name])</f>
        <v>Smart Watch 3</v>
      </c>
      <c r="K431" t="str">
        <f>_xlfn.XLOOKUP(sales[[#This Row],[Store_ID]],stores[Store_ID],stores[Store_Name])</f>
        <v>Bengaluru Store</v>
      </c>
      <c r="L431" t="str">
        <f>_xlfn.XLOOKUP(sales[[#This Row],[Customer_ID]],customers[Customer_ID],customers[Customer_Name])</f>
        <v>Arjun_93</v>
      </c>
      <c r="M431" t="str">
        <f>IF(sales[[#This Row],[Total_Amount]]&gt;=50000,"High Sales","Low Sales")</f>
        <v>High Sales</v>
      </c>
      <c r="N431">
        <f>sales[[#This Row],[Total_Amount]]/sales[[#This Row],[Quantity]]</f>
        <v>29922.070000000003</v>
      </c>
    </row>
    <row r="432" spans="1:14" x14ac:dyDescent="0.3">
      <c r="A432" t="s">
        <v>1212</v>
      </c>
      <c r="B432">
        <v>1015</v>
      </c>
      <c r="C432" t="s">
        <v>100</v>
      </c>
      <c r="D432" t="s">
        <v>42</v>
      </c>
      <c r="E432" t="s">
        <v>927</v>
      </c>
      <c r="F432">
        <v>2</v>
      </c>
      <c r="G432">
        <v>106849.76</v>
      </c>
      <c r="H432" t="s">
        <v>522</v>
      </c>
      <c r="I432">
        <v>2025</v>
      </c>
      <c r="J432" t="str">
        <f>_xlfn.XLOOKUP(sales[[#This Row],[Product_ID]],products[Product_ID],products[Product_Name])</f>
        <v>Tablet 15</v>
      </c>
      <c r="K432" t="str">
        <f>_xlfn.XLOOKUP(sales[[#This Row],[Store_ID]],stores[Store_ID],stores[Store_Name])</f>
        <v>Hyderabad Store</v>
      </c>
      <c r="L432" t="str">
        <f>_xlfn.XLOOKUP(sales[[#This Row],[Customer_ID]],customers[Customer_ID],customers[Customer_Name])</f>
        <v>Keerthi_15</v>
      </c>
      <c r="M432" t="str">
        <f>IF(sales[[#This Row],[Total_Amount]]&gt;=50000,"High Sales","Low Sales")</f>
        <v>High Sales</v>
      </c>
      <c r="N432">
        <f>sales[[#This Row],[Total_Amount]]/sales[[#This Row],[Quantity]]</f>
        <v>53424.88</v>
      </c>
    </row>
    <row r="433" spans="1:14" x14ac:dyDescent="0.3">
      <c r="A433" t="s">
        <v>1213</v>
      </c>
      <c r="B433">
        <v>1146</v>
      </c>
      <c r="C433" t="s">
        <v>124</v>
      </c>
      <c r="D433" t="s">
        <v>59</v>
      </c>
      <c r="E433" t="s">
        <v>356</v>
      </c>
      <c r="F433">
        <v>2</v>
      </c>
      <c r="G433">
        <v>191949.62</v>
      </c>
      <c r="H433" t="s">
        <v>531</v>
      </c>
      <c r="I433">
        <v>2025</v>
      </c>
      <c r="J433" t="str">
        <f>_xlfn.XLOOKUP(sales[[#This Row],[Product_ID]],products[Product_ID],products[Product_Name])</f>
        <v>Mixer 27</v>
      </c>
      <c r="K433" t="str">
        <f>_xlfn.XLOOKUP(sales[[#This Row],[Store_ID]],stores[Store_ID],stores[Store_Name])</f>
        <v>Chennai Store</v>
      </c>
      <c r="L433" t="str">
        <f>_xlfn.XLOOKUP(sales[[#This Row],[Customer_ID]],customers[Customer_ID],customers[Customer_Name])</f>
        <v>Sita_146</v>
      </c>
      <c r="M433" t="str">
        <f>IF(sales[[#This Row],[Total_Amount]]&gt;=50000,"High Sales","Low Sales")</f>
        <v>High Sales</v>
      </c>
      <c r="N433">
        <f>sales[[#This Row],[Total_Amount]]/sales[[#This Row],[Quantity]]</f>
        <v>95974.81</v>
      </c>
    </row>
    <row r="434" spans="1:14" x14ac:dyDescent="0.3">
      <c r="A434" t="s">
        <v>1214</v>
      </c>
      <c r="B434">
        <v>1004</v>
      </c>
      <c r="C434" t="s">
        <v>77</v>
      </c>
      <c r="D434" t="s">
        <v>59</v>
      </c>
      <c r="E434" t="s">
        <v>1215</v>
      </c>
      <c r="F434">
        <v>5</v>
      </c>
      <c r="G434">
        <v>130709.2</v>
      </c>
      <c r="H434" t="s">
        <v>528</v>
      </c>
      <c r="I434">
        <v>2025</v>
      </c>
      <c r="J434" t="str">
        <f>_xlfn.XLOOKUP(sales[[#This Row],[Product_ID]],products[Product_ID],products[Product_Name])</f>
        <v>Monitor 4</v>
      </c>
      <c r="K434" t="str">
        <f>_xlfn.XLOOKUP(sales[[#This Row],[Store_ID]],stores[Store_ID],stores[Store_Name])</f>
        <v>Chennai Store</v>
      </c>
      <c r="L434" t="str">
        <f>_xlfn.XLOOKUP(sales[[#This Row],[Customer_ID]],customers[Customer_ID],customers[Customer_Name])</f>
        <v>Rahul_4</v>
      </c>
      <c r="M434" t="str">
        <f>IF(sales[[#This Row],[Total_Amount]]&gt;=50000,"High Sales","Low Sales")</f>
        <v>High Sales</v>
      </c>
      <c r="N434">
        <f>sales[[#This Row],[Total_Amount]]/sales[[#This Row],[Quantity]]</f>
        <v>26141.84</v>
      </c>
    </row>
    <row r="435" spans="1:14" x14ac:dyDescent="0.3">
      <c r="A435" t="s">
        <v>1216</v>
      </c>
      <c r="B435">
        <v>1188</v>
      </c>
      <c r="C435" t="s">
        <v>124</v>
      </c>
      <c r="D435" t="s">
        <v>62</v>
      </c>
      <c r="E435" t="s">
        <v>305</v>
      </c>
      <c r="F435">
        <v>3</v>
      </c>
      <c r="G435">
        <v>79980.179999999993</v>
      </c>
      <c r="H435" t="s">
        <v>558</v>
      </c>
      <c r="I435">
        <v>2025</v>
      </c>
      <c r="J435" t="str">
        <f>_xlfn.XLOOKUP(sales[[#This Row],[Product_ID]],products[Product_ID],products[Product_Name])</f>
        <v>Mixer 27</v>
      </c>
      <c r="K435" t="str">
        <f>_xlfn.XLOOKUP(sales[[#This Row],[Store_ID]],stores[Store_ID],stores[Store_Name])</f>
        <v>Pune Store</v>
      </c>
      <c r="L435" t="str">
        <f>_xlfn.XLOOKUP(sales[[#This Row],[Customer_ID]],customers[Customer_ID],customers[Customer_Name])</f>
        <v>Rahul_188</v>
      </c>
      <c r="M435" t="str">
        <f>IF(sales[[#This Row],[Total_Amount]]&gt;=50000,"High Sales","Low Sales")</f>
        <v>High Sales</v>
      </c>
      <c r="N435">
        <f>sales[[#This Row],[Total_Amount]]/sales[[#This Row],[Quantity]]</f>
        <v>26660.059999999998</v>
      </c>
    </row>
    <row r="436" spans="1:14" x14ac:dyDescent="0.3">
      <c r="A436" t="s">
        <v>1217</v>
      </c>
      <c r="B436">
        <v>1032</v>
      </c>
      <c r="C436" t="s">
        <v>126</v>
      </c>
      <c r="D436" t="s">
        <v>50</v>
      </c>
      <c r="E436" t="s">
        <v>1009</v>
      </c>
      <c r="F436">
        <v>4</v>
      </c>
      <c r="G436">
        <v>285356.15999999997</v>
      </c>
      <c r="H436" t="s">
        <v>575</v>
      </c>
      <c r="I436">
        <v>2025</v>
      </c>
      <c r="J436" t="str">
        <f>_xlfn.XLOOKUP(sales[[#This Row],[Product_ID]],products[Product_ID],products[Product_Name])</f>
        <v>Router 28</v>
      </c>
      <c r="K436" t="str">
        <f>_xlfn.XLOOKUP(sales[[#This Row],[Store_ID]],stores[Store_ID],stores[Store_Name])</f>
        <v>Guntur Store</v>
      </c>
      <c r="L436" t="str">
        <f>_xlfn.XLOOKUP(sales[[#This Row],[Customer_ID]],customers[Customer_ID],customers[Customer_Name])</f>
        <v>Sneha_32</v>
      </c>
      <c r="M436" t="str">
        <f>IF(sales[[#This Row],[Total_Amount]]&gt;=50000,"High Sales","Low Sales")</f>
        <v>High Sales</v>
      </c>
      <c r="N436">
        <f>sales[[#This Row],[Total_Amount]]/sales[[#This Row],[Quantity]]</f>
        <v>71339.039999999994</v>
      </c>
    </row>
    <row r="437" spans="1:14" x14ac:dyDescent="0.3">
      <c r="A437" t="s">
        <v>1218</v>
      </c>
      <c r="B437">
        <v>1107</v>
      </c>
      <c r="C437" t="s">
        <v>72</v>
      </c>
      <c r="D437" t="s">
        <v>46</v>
      </c>
      <c r="E437" t="s">
        <v>1219</v>
      </c>
      <c r="F437">
        <v>5</v>
      </c>
      <c r="G437">
        <v>534964.35</v>
      </c>
      <c r="H437" t="s">
        <v>525</v>
      </c>
      <c r="I437">
        <v>2025</v>
      </c>
      <c r="J437" t="str">
        <f>_xlfn.XLOOKUP(sales[[#This Row],[Product_ID]],products[Product_ID],products[Product_Name])</f>
        <v>Headphones 2</v>
      </c>
      <c r="K437" t="str">
        <f>_xlfn.XLOOKUP(sales[[#This Row],[Store_ID]],stores[Store_ID],stores[Store_Name])</f>
        <v>Vijayawada Store</v>
      </c>
      <c r="L437" t="str">
        <f>_xlfn.XLOOKUP(sales[[#This Row],[Customer_ID]],customers[Customer_ID],customers[Customer_Name])</f>
        <v>Keerthi_107</v>
      </c>
      <c r="M437" t="str">
        <f>IF(sales[[#This Row],[Total_Amount]]&gt;=50000,"High Sales","Low Sales")</f>
        <v>High Sales</v>
      </c>
      <c r="N437">
        <f>sales[[#This Row],[Total_Amount]]/sales[[#This Row],[Quantity]]</f>
        <v>106992.87</v>
      </c>
    </row>
    <row r="438" spans="1:14" x14ac:dyDescent="0.3">
      <c r="A438" t="s">
        <v>1220</v>
      </c>
      <c r="B438">
        <v>1038</v>
      </c>
      <c r="C438" t="s">
        <v>69</v>
      </c>
      <c r="D438" t="s">
        <v>50</v>
      </c>
      <c r="E438" t="s">
        <v>1177</v>
      </c>
      <c r="F438">
        <v>2</v>
      </c>
      <c r="G438">
        <v>187769.24</v>
      </c>
      <c r="H438" t="s">
        <v>558</v>
      </c>
      <c r="I438">
        <v>2026</v>
      </c>
      <c r="J438" t="str">
        <f>_xlfn.XLOOKUP(sales[[#This Row],[Product_ID]],products[Product_ID],products[Product_Name])</f>
        <v>Headphones 1</v>
      </c>
      <c r="K438" t="str">
        <f>_xlfn.XLOOKUP(sales[[#This Row],[Store_ID]],stores[Store_ID],stores[Store_Name])</f>
        <v>Guntur Store</v>
      </c>
      <c r="L438" t="str">
        <f>_xlfn.XLOOKUP(sales[[#This Row],[Customer_ID]],customers[Customer_ID],customers[Customer_Name])</f>
        <v>Rahul_38</v>
      </c>
      <c r="M438" t="str">
        <f>IF(sales[[#This Row],[Total_Amount]]&gt;=50000,"High Sales","Low Sales")</f>
        <v>High Sales</v>
      </c>
      <c r="N438">
        <f>sales[[#This Row],[Total_Amount]]/sales[[#This Row],[Quantity]]</f>
        <v>93884.62</v>
      </c>
    </row>
    <row r="439" spans="1:14" x14ac:dyDescent="0.3">
      <c r="A439" t="s">
        <v>1221</v>
      </c>
      <c r="B439">
        <v>1112</v>
      </c>
      <c r="C439" t="s">
        <v>96</v>
      </c>
      <c r="D439" t="s">
        <v>46</v>
      </c>
      <c r="E439" t="s">
        <v>530</v>
      </c>
      <c r="F439">
        <v>4</v>
      </c>
      <c r="G439">
        <v>41167.519999999997</v>
      </c>
      <c r="H439" t="s">
        <v>531</v>
      </c>
      <c r="I439">
        <v>2025</v>
      </c>
      <c r="J439" t="str">
        <f>_xlfn.XLOOKUP(sales[[#This Row],[Product_ID]],products[Product_ID],products[Product_Name])</f>
        <v>Printer 13</v>
      </c>
      <c r="K439" t="str">
        <f>_xlfn.XLOOKUP(sales[[#This Row],[Store_ID]],stores[Store_ID],stores[Store_Name])</f>
        <v>Vijayawada Store</v>
      </c>
      <c r="L439" t="str">
        <f>_xlfn.XLOOKUP(sales[[#This Row],[Customer_ID]],customers[Customer_ID],customers[Customer_Name])</f>
        <v>Sita_112</v>
      </c>
      <c r="M439" t="str">
        <f>IF(sales[[#This Row],[Total_Amount]]&gt;=50000,"High Sales","Low Sales")</f>
        <v>Low Sales</v>
      </c>
      <c r="N439">
        <f>sales[[#This Row],[Total_Amount]]/sales[[#This Row],[Quantity]]</f>
        <v>10291.879999999999</v>
      </c>
    </row>
    <row r="440" spans="1:14" x14ac:dyDescent="0.3">
      <c r="A440" t="s">
        <v>1222</v>
      </c>
      <c r="B440">
        <v>1022</v>
      </c>
      <c r="C440" t="s">
        <v>118</v>
      </c>
      <c r="D440" t="s">
        <v>42</v>
      </c>
      <c r="E440" t="s">
        <v>968</v>
      </c>
      <c r="F440">
        <v>2</v>
      </c>
      <c r="G440">
        <v>113595.06</v>
      </c>
      <c r="H440" t="s">
        <v>561</v>
      </c>
      <c r="I440">
        <v>2025</v>
      </c>
      <c r="J440" t="str">
        <f>_xlfn.XLOOKUP(sales[[#This Row],[Product_ID]],products[Product_ID],products[Product_Name])</f>
        <v>Tablet 24</v>
      </c>
      <c r="K440" t="str">
        <f>_xlfn.XLOOKUP(sales[[#This Row],[Store_ID]],stores[Store_ID],stores[Store_Name])</f>
        <v>Hyderabad Store</v>
      </c>
      <c r="L440" t="str">
        <f>_xlfn.XLOOKUP(sales[[#This Row],[Customer_ID]],customers[Customer_ID],customers[Customer_Name])</f>
        <v>Priya_22</v>
      </c>
      <c r="M440" t="str">
        <f>IF(sales[[#This Row],[Total_Amount]]&gt;=50000,"High Sales","Low Sales")</f>
        <v>High Sales</v>
      </c>
      <c r="N440">
        <f>sales[[#This Row],[Total_Amount]]/sales[[#This Row],[Quantity]]</f>
        <v>56797.53</v>
      </c>
    </row>
    <row r="441" spans="1:14" x14ac:dyDescent="0.3">
      <c r="A441" t="s">
        <v>1223</v>
      </c>
      <c r="B441">
        <v>1150</v>
      </c>
      <c r="C441" t="s">
        <v>126</v>
      </c>
      <c r="D441" t="s">
        <v>42</v>
      </c>
      <c r="E441" t="s">
        <v>293</v>
      </c>
      <c r="F441">
        <v>4</v>
      </c>
      <c r="G441">
        <v>419687.08</v>
      </c>
      <c r="H441" t="s">
        <v>558</v>
      </c>
      <c r="I441">
        <v>2025</v>
      </c>
      <c r="J441" t="str">
        <f>_xlfn.XLOOKUP(sales[[#This Row],[Product_ID]],products[Product_ID],products[Product_Name])</f>
        <v>Router 28</v>
      </c>
      <c r="K441" t="str">
        <f>_xlfn.XLOOKUP(sales[[#This Row],[Store_ID]],stores[Store_ID],stores[Store_Name])</f>
        <v>Hyderabad Store</v>
      </c>
      <c r="L441" t="str">
        <f>_xlfn.XLOOKUP(sales[[#This Row],[Customer_ID]],customers[Customer_ID],customers[Customer_Name])</f>
        <v>Priya_150</v>
      </c>
      <c r="M441" t="str">
        <f>IF(sales[[#This Row],[Total_Amount]]&gt;=50000,"High Sales","Low Sales")</f>
        <v>High Sales</v>
      </c>
      <c r="N441">
        <f>sales[[#This Row],[Total_Amount]]/sales[[#This Row],[Quantity]]</f>
        <v>104921.77</v>
      </c>
    </row>
    <row r="442" spans="1:14" x14ac:dyDescent="0.3">
      <c r="A442" t="s">
        <v>1224</v>
      </c>
      <c r="B442">
        <v>1176</v>
      </c>
      <c r="C442" t="s">
        <v>90</v>
      </c>
      <c r="D442" t="s">
        <v>46</v>
      </c>
      <c r="E442" t="s">
        <v>680</v>
      </c>
      <c r="F442">
        <v>1</v>
      </c>
      <c r="G442">
        <v>93513.75</v>
      </c>
      <c r="H442" t="s">
        <v>558</v>
      </c>
      <c r="I442">
        <v>2025</v>
      </c>
      <c r="J442" t="str">
        <f>_xlfn.XLOOKUP(sales[[#This Row],[Product_ID]],products[Product_ID],products[Product_Name])</f>
        <v>Camera 10</v>
      </c>
      <c r="K442" t="str">
        <f>_xlfn.XLOOKUP(sales[[#This Row],[Store_ID]],stores[Store_ID],stores[Store_Name])</f>
        <v>Vijayawada Store</v>
      </c>
      <c r="L442" t="str">
        <f>_xlfn.XLOOKUP(sales[[#This Row],[Customer_ID]],customers[Customer_ID],customers[Customer_Name])</f>
        <v>Vikram_176</v>
      </c>
      <c r="M442" t="str">
        <f>IF(sales[[#This Row],[Total_Amount]]&gt;=50000,"High Sales","Low Sales")</f>
        <v>High Sales</v>
      </c>
      <c r="N442">
        <f>sales[[#This Row],[Total_Amount]]/sales[[#This Row],[Quantity]]</f>
        <v>93513.75</v>
      </c>
    </row>
    <row r="443" spans="1:14" x14ac:dyDescent="0.3">
      <c r="A443" t="s">
        <v>1225</v>
      </c>
      <c r="B443">
        <v>1022</v>
      </c>
      <c r="C443" t="s">
        <v>104</v>
      </c>
      <c r="D443" t="s">
        <v>50</v>
      </c>
      <c r="E443" t="s">
        <v>264</v>
      </c>
      <c r="F443">
        <v>2</v>
      </c>
      <c r="G443">
        <v>29167.26</v>
      </c>
      <c r="H443" t="s">
        <v>531</v>
      </c>
      <c r="I443">
        <v>2025</v>
      </c>
      <c r="J443" t="str">
        <f>_xlfn.XLOOKUP(sales[[#This Row],[Product_ID]],products[Product_ID],products[Product_Name])</f>
        <v>Mixer 17</v>
      </c>
      <c r="K443" t="str">
        <f>_xlfn.XLOOKUP(sales[[#This Row],[Store_ID]],stores[Store_ID],stores[Store_Name])</f>
        <v>Guntur Store</v>
      </c>
      <c r="L443" t="str">
        <f>_xlfn.XLOOKUP(sales[[#This Row],[Customer_ID]],customers[Customer_ID],customers[Customer_Name])</f>
        <v>Priya_22</v>
      </c>
      <c r="M443" t="str">
        <f>IF(sales[[#This Row],[Total_Amount]]&gt;=50000,"High Sales","Low Sales")</f>
        <v>Low Sales</v>
      </c>
      <c r="N443">
        <f>sales[[#This Row],[Total_Amount]]/sales[[#This Row],[Quantity]]</f>
        <v>14583.63</v>
      </c>
    </row>
    <row r="444" spans="1:14" x14ac:dyDescent="0.3">
      <c r="A444" t="s">
        <v>1226</v>
      </c>
      <c r="B444">
        <v>1021</v>
      </c>
      <c r="C444" t="s">
        <v>100</v>
      </c>
      <c r="D444" t="s">
        <v>42</v>
      </c>
      <c r="E444" t="s">
        <v>412</v>
      </c>
      <c r="F444">
        <v>3</v>
      </c>
      <c r="G444">
        <v>103680.66</v>
      </c>
      <c r="H444" t="s">
        <v>525</v>
      </c>
      <c r="I444">
        <v>2025</v>
      </c>
      <c r="J444" t="str">
        <f>_xlfn.XLOOKUP(sales[[#This Row],[Product_ID]],products[Product_ID],products[Product_Name])</f>
        <v>Tablet 15</v>
      </c>
      <c r="K444" t="str">
        <f>_xlfn.XLOOKUP(sales[[#This Row],[Store_ID]],stores[Store_ID],stores[Store_Name])</f>
        <v>Hyderabad Store</v>
      </c>
      <c r="L444" t="str">
        <f>_xlfn.XLOOKUP(sales[[#This Row],[Customer_ID]],customers[Customer_ID],customers[Customer_Name])</f>
        <v>Priya_21</v>
      </c>
      <c r="M444" t="str">
        <f>IF(sales[[#This Row],[Total_Amount]]&gt;=50000,"High Sales","Low Sales")</f>
        <v>High Sales</v>
      </c>
      <c r="N444">
        <f>sales[[#This Row],[Total_Amount]]/sales[[#This Row],[Quantity]]</f>
        <v>34560.22</v>
      </c>
    </row>
    <row r="445" spans="1:14" x14ac:dyDescent="0.3">
      <c r="A445" t="s">
        <v>1227</v>
      </c>
      <c r="B445">
        <v>1053</v>
      </c>
      <c r="C445" t="s">
        <v>126</v>
      </c>
      <c r="D445" t="s">
        <v>57</v>
      </c>
      <c r="E445" t="s">
        <v>676</v>
      </c>
      <c r="F445">
        <v>5</v>
      </c>
      <c r="G445">
        <v>292844.25</v>
      </c>
      <c r="H445" t="s">
        <v>534</v>
      </c>
      <c r="I445">
        <v>2025</v>
      </c>
      <c r="J445" t="str">
        <f>_xlfn.XLOOKUP(sales[[#This Row],[Product_ID]],products[Product_ID],products[Product_Name])</f>
        <v>Router 28</v>
      </c>
      <c r="K445" t="str">
        <f>_xlfn.XLOOKUP(sales[[#This Row],[Store_ID]],stores[Store_ID],stores[Store_Name])</f>
        <v>Bengaluru Store</v>
      </c>
      <c r="L445" t="str">
        <f>_xlfn.XLOOKUP(sales[[#This Row],[Customer_ID]],customers[Customer_ID],customers[Customer_Name])</f>
        <v>Ramesh_53</v>
      </c>
      <c r="M445" t="str">
        <f>IF(sales[[#This Row],[Total_Amount]]&gt;=50000,"High Sales","Low Sales")</f>
        <v>High Sales</v>
      </c>
      <c r="N445">
        <f>sales[[#This Row],[Total_Amount]]/sales[[#This Row],[Quantity]]</f>
        <v>58568.85</v>
      </c>
    </row>
    <row r="446" spans="1:14" x14ac:dyDescent="0.3">
      <c r="A446" t="s">
        <v>1228</v>
      </c>
      <c r="B446">
        <v>1149</v>
      </c>
      <c r="C446" t="s">
        <v>86</v>
      </c>
      <c r="D446" t="s">
        <v>57</v>
      </c>
      <c r="E446" t="s">
        <v>1229</v>
      </c>
      <c r="F446">
        <v>1</v>
      </c>
      <c r="G446">
        <v>25541.11</v>
      </c>
      <c r="H446" t="s">
        <v>540</v>
      </c>
      <c r="I446">
        <v>2025</v>
      </c>
      <c r="J446" t="str">
        <f>_xlfn.XLOOKUP(sales[[#This Row],[Product_ID]],products[Product_ID],products[Product_Name])</f>
        <v>Laptop 8</v>
      </c>
      <c r="K446" t="str">
        <f>_xlfn.XLOOKUP(sales[[#This Row],[Store_ID]],stores[Store_ID],stores[Store_Name])</f>
        <v>Bengaluru Store</v>
      </c>
      <c r="L446" t="str">
        <f>_xlfn.XLOOKUP(sales[[#This Row],[Customer_ID]],customers[Customer_ID],customers[Customer_Name])</f>
        <v>Akhil_149</v>
      </c>
      <c r="M446" t="str">
        <f>IF(sales[[#This Row],[Total_Amount]]&gt;=50000,"High Sales","Low Sales")</f>
        <v>Low Sales</v>
      </c>
      <c r="N446">
        <f>sales[[#This Row],[Total_Amount]]/sales[[#This Row],[Quantity]]</f>
        <v>25541.11</v>
      </c>
    </row>
    <row r="447" spans="1:14" x14ac:dyDescent="0.3">
      <c r="A447" t="s">
        <v>1230</v>
      </c>
      <c r="B447">
        <v>1122</v>
      </c>
      <c r="C447" t="s">
        <v>86</v>
      </c>
      <c r="D447" t="s">
        <v>46</v>
      </c>
      <c r="E447" t="s">
        <v>378</v>
      </c>
      <c r="F447">
        <v>3</v>
      </c>
      <c r="G447">
        <v>145871.25</v>
      </c>
      <c r="H447" t="s">
        <v>537</v>
      </c>
      <c r="I447">
        <v>2025</v>
      </c>
      <c r="J447" t="str">
        <f>_xlfn.XLOOKUP(sales[[#This Row],[Product_ID]],products[Product_ID],products[Product_Name])</f>
        <v>Laptop 8</v>
      </c>
      <c r="K447" t="str">
        <f>_xlfn.XLOOKUP(sales[[#This Row],[Store_ID]],stores[Store_ID],stores[Store_Name])</f>
        <v>Vijayawada Store</v>
      </c>
      <c r="L447" t="str">
        <f>_xlfn.XLOOKUP(sales[[#This Row],[Customer_ID]],customers[Customer_ID],customers[Customer_Name])</f>
        <v>Rahul_122</v>
      </c>
      <c r="M447" t="str">
        <f>IF(sales[[#This Row],[Total_Amount]]&gt;=50000,"High Sales","Low Sales")</f>
        <v>High Sales</v>
      </c>
      <c r="N447">
        <f>sales[[#This Row],[Total_Amount]]/sales[[#This Row],[Quantity]]</f>
        <v>48623.75</v>
      </c>
    </row>
    <row r="448" spans="1:14" x14ac:dyDescent="0.3">
      <c r="A448" t="s">
        <v>1231</v>
      </c>
      <c r="B448">
        <v>1137</v>
      </c>
      <c r="C448" t="s">
        <v>90</v>
      </c>
      <c r="D448" t="s">
        <v>62</v>
      </c>
      <c r="E448" t="s">
        <v>1232</v>
      </c>
      <c r="F448">
        <v>1</v>
      </c>
      <c r="G448">
        <v>96531.86</v>
      </c>
      <c r="H448" t="s">
        <v>522</v>
      </c>
      <c r="I448">
        <v>2025</v>
      </c>
      <c r="J448" t="str">
        <f>_xlfn.XLOOKUP(sales[[#This Row],[Product_ID]],products[Product_ID],products[Product_Name])</f>
        <v>Camera 10</v>
      </c>
      <c r="K448" t="str">
        <f>_xlfn.XLOOKUP(sales[[#This Row],[Store_ID]],stores[Store_ID],stores[Store_Name])</f>
        <v>Pune Store</v>
      </c>
      <c r="L448" t="str">
        <f>_xlfn.XLOOKUP(sales[[#This Row],[Customer_ID]],customers[Customer_ID],customers[Customer_Name])</f>
        <v>Nikhil_137</v>
      </c>
      <c r="M448" t="str">
        <f>IF(sales[[#This Row],[Total_Amount]]&gt;=50000,"High Sales","Low Sales")</f>
        <v>High Sales</v>
      </c>
      <c r="N448">
        <f>sales[[#This Row],[Total_Amount]]/sales[[#This Row],[Quantity]]</f>
        <v>96531.86</v>
      </c>
    </row>
    <row r="449" spans="1:14" x14ac:dyDescent="0.3">
      <c r="A449" t="s">
        <v>1233</v>
      </c>
      <c r="B449">
        <v>1078</v>
      </c>
      <c r="C449" t="s">
        <v>92</v>
      </c>
      <c r="D449" t="s">
        <v>46</v>
      </c>
      <c r="E449" t="s">
        <v>1234</v>
      </c>
      <c r="F449">
        <v>5</v>
      </c>
      <c r="G449">
        <v>463279.05</v>
      </c>
      <c r="H449" t="s">
        <v>531</v>
      </c>
      <c r="I449">
        <v>2025</v>
      </c>
      <c r="J449" t="str">
        <f>_xlfn.XLOOKUP(sales[[#This Row],[Product_ID]],products[Product_ID],products[Product_Name])</f>
        <v>Smartphone 11</v>
      </c>
      <c r="K449" t="str">
        <f>_xlfn.XLOOKUP(sales[[#This Row],[Store_ID]],stores[Store_ID],stores[Store_Name])</f>
        <v>Vijayawada Store</v>
      </c>
      <c r="L449" t="str">
        <f>_xlfn.XLOOKUP(sales[[#This Row],[Customer_ID]],customers[Customer_ID],customers[Customer_Name])</f>
        <v>Pooja_78</v>
      </c>
      <c r="M449" t="str">
        <f>IF(sales[[#This Row],[Total_Amount]]&gt;=50000,"High Sales","Low Sales")</f>
        <v>High Sales</v>
      </c>
      <c r="N449">
        <f>sales[[#This Row],[Total_Amount]]/sales[[#This Row],[Quantity]]</f>
        <v>92655.81</v>
      </c>
    </row>
    <row r="450" spans="1:14" x14ac:dyDescent="0.3">
      <c r="A450" t="s">
        <v>1235</v>
      </c>
      <c r="B450">
        <v>1157</v>
      </c>
      <c r="C450" t="s">
        <v>81</v>
      </c>
      <c r="D450" t="s">
        <v>42</v>
      </c>
      <c r="E450" t="s">
        <v>1076</v>
      </c>
      <c r="F450">
        <v>3</v>
      </c>
      <c r="G450">
        <v>209270.1</v>
      </c>
      <c r="H450" t="s">
        <v>525</v>
      </c>
      <c r="I450">
        <v>2026</v>
      </c>
      <c r="J450" t="str">
        <f>_xlfn.XLOOKUP(sales[[#This Row],[Product_ID]],products[Product_ID],products[Product_Name])</f>
        <v>Camera 6</v>
      </c>
      <c r="K450" t="str">
        <f>_xlfn.XLOOKUP(sales[[#This Row],[Store_ID]],stores[Store_ID],stores[Store_Name])</f>
        <v>Hyderabad Store</v>
      </c>
      <c r="L450" t="str">
        <f>_xlfn.XLOOKUP(sales[[#This Row],[Customer_ID]],customers[Customer_ID],customers[Customer_Name])</f>
        <v>Nikhil_157</v>
      </c>
      <c r="M450" t="str">
        <f>IF(sales[[#This Row],[Total_Amount]]&gt;=50000,"High Sales","Low Sales")</f>
        <v>High Sales</v>
      </c>
      <c r="N450">
        <f>sales[[#This Row],[Total_Amount]]/sales[[#This Row],[Quantity]]</f>
        <v>69756.7</v>
      </c>
    </row>
    <row r="451" spans="1:14" x14ac:dyDescent="0.3">
      <c r="A451" t="s">
        <v>1236</v>
      </c>
      <c r="B451">
        <v>1182</v>
      </c>
      <c r="C451" t="s">
        <v>94</v>
      </c>
      <c r="D451" t="s">
        <v>50</v>
      </c>
      <c r="E451" t="s">
        <v>1150</v>
      </c>
      <c r="F451">
        <v>2</v>
      </c>
      <c r="G451">
        <v>175433.16</v>
      </c>
      <c r="H451" t="s">
        <v>537</v>
      </c>
      <c r="I451">
        <v>2026</v>
      </c>
      <c r="J451" t="str">
        <f>_xlfn.XLOOKUP(sales[[#This Row],[Product_ID]],products[Product_ID],products[Product_Name])</f>
        <v>Mouse 12</v>
      </c>
      <c r="K451" t="str">
        <f>_xlfn.XLOOKUP(sales[[#This Row],[Store_ID]],stores[Store_ID],stores[Store_Name])</f>
        <v>Guntur Store</v>
      </c>
      <c r="L451" t="str">
        <f>_xlfn.XLOOKUP(sales[[#This Row],[Customer_ID]],customers[Customer_ID],customers[Customer_Name])</f>
        <v>Keerthi_182</v>
      </c>
      <c r="M451" t="str">
        <f>IF(sales[[#This Row],[Total_Amount]]&gt;=50000,"High Sales","Low Sales")</f>
        <v>High Sales</v>
      </c>
      <c r="N451">
        <f>sales[[#This Row],[Total_Amount]]/sales[[#This Row],[Quantity]]</f>
        <v>87716.58</v>
      </c>
    </row>
    <row r="452" spans="1:14" x14ac:dyDescent="0.3">
      <c r="A452" t="s">
        <v>1237</v>
      </c>
      <c r="B452">
        <v>1167</v>
      </c>
      <c r="C452" t="s">
        <v>116</v>
      </c>
      <c r="D452" t="s">
        <v>57</v>
      </c>
      <c r="E452" t="s">
        <v>629</v>
      </c>
      <c r="F452">
        <v>2</v>
      </c>
      <c r="G452">
        <v>112313.3</v>
      </c>
      <c r="H452" t="s">
        <v>525</v>
      </c>
      <c r="I452">
        <v>2025</v>
      </c>
      <c r="J452" t="str">
        <f>_xlfn.XLOOKUP(sales[[#This Row],[Product_ID]],products[Product_ID],products[Product_Name])</f>
        <v>Microwave 23</v>
      </c>
      <c r="K452" t="str">
        <f>_xlfn.XLOOKUP(sales[[#This Row],[Store_ID]],stores[Store_ID],stores[Store_Name])</f>
        <v>Bengaluru Store</v>
      </c>
      <c r="L452" t="str">
        <f>_xlfn.XLOOKUP(sales[[#This Row],[Customer_ID]],customers[Customer_ID],customers[Customer_Name])</f>
        <v>Nikhil_167</v>
      </c>
      <c r="M452" t="str">
        <f>IF(sales[[#This Row],[Total_Amount]]&gt;=50000,"High Sales","Low Sales")</f>
        <v>High Sales</v>
      </c>
      <c r="N452">
        <f>sales[[#This Row],[Total_Amount]]/sales[[#This Row],[Quantity]]</f>
        <v>56156.65</v>
      </c>
    </row>
    <row r="453" spans="1:14" x14ac:dyDescent="0.3">
      <c r="A453" t="s">
        <v>1238</v>
      </c>
      <c r="B453">
        <v>1169</v>
      </c>
      <c r="C453" t="s">
        <v>96</v>
      </c>
      <c r="D453" t="s">
        <v>42</v>
      </c>
      <c r="E453" t="s">
        <v>990</v>
      </c>
      <c r="F453">
        <v>4</v>
      </c>
      <c r="G453">
        <v>255162.72</v>
      </c>
      <c r="H453" t="s">
        <v>561</v>
      </c>
      <c r="I453">
        <v>2025</v>
      </c>
      <c r="J453" t="str">
        <f>_xlfn.XLOOKUP(sales[[#This Row],[Product_ID]],products[Product_ID],products[Product_Name])</f>
        <v>Printer 13</v>
      </c>
      <c r="K453" t="str">
        <f>_xlfn.XLOOKUP(sales[[#This Row],[Store_ID]],stores[Store_ID],stores[Store_Name])</f>
        <v>Hyderabad Store</v>
      </c>
      <c r="L453" t="str">
        <f>_xlfn.XLOOKUP(sales[[#This Row],[Customer_ID]],customers[Customer_ID],customers[Customer_Name])</f>
        <v>Arjun_169</v>
      </c>
      <c r="M453" t="str">
        <f>IF(sales[[#This Row],[Total_Amount]]&gt;=50000,"High Sales","Low Sales")</f>
        <v>High Sales</v>
      </c>
      <c r="N453">
        <f>sales[[#This Row],[Total_Amount]]/sales[[#This Row],[Quantity]]</f>
        <v>63790.68</v>
      </c>
    </row>
    <row r="454" spans="1:14" x14ac:dyDescent="0.3">
      <c r="A454" t="s">
        <v>1239</v>
      </c>
      <c r="B454">
        <v>1079</v>
      </c>
      <c r="C454" t="s">
        <v>112</v>
      </c>
      <c r="D454" t="s">
        <v>50</v>
      </c>
      <c r="E454" t="s">
        <v>819</v>
      </c>
      <c r="F454">
        <v>1</v>
      </c>
      <c r="G454">
        <v>44878.85</v>
      </c>
      <c r="H454" t="s">
        <v>558</v>
      </c>
      <c r="I454">
        <v>2026</v>
      </c>
      <c r="J454" t="str">
        <f>_xlfn.XLOOKUP(sales[[#This Row],[Product_ID]],products[Product_ID],products[Product_Name])</f>
        <v>Monitor 21</v>
      </c>
      <c r="K454" t="str">
        <f>_xlfn.XLOOKUP(sales[[#This Row],[Store_ID]],stores[Store_ID],stores[Store_Name])</f>
        <v>Guntur Store</v>
      </c>
      <c r="L454" t="str">
        <f>_xlfn.XLOOKUP(sales[[#This Row],[Customer_ID]],customers[Customer_ID],customers[Customer_Name])</f>
        <v>Priya_79</v>
      </c>
      <c r="M454" t="str">
        <f>IF(sales[[#This Row],[Total_Amount]]&gt;=50000,"High Sales","Low Sales")</f>
        <v>Low Sales</v>
      </c>
      <c r="N454">
        <f>sales[[#This Row],[Total_Amount]]/sales[[#This Row],[Quantity]]</f>
        <v>44878.85</v>
      </c>
    </row>
    <row r="455" spans="1:14" x14ac:dyDescent="0.3">
      <c r="A455" t="s">
        <v>1240</v>
      </c>
      <c r="B455">
        <v>1061</v>
      </c>
      <c r="C455" t="s">
        <v>69</v>
      </c>
      <c r="D455" t="s">
        <v>53</v>
      </c>
      <c r="E455" t="s">
        <v>579</v>
      </c>
      <c r="F455">
        <v>2</v>
      </c>
      <c r="G455">
        <v>158792.64000000001</v>
      </c>
      <c r="H455" t="s">
        <v>531</v>
      </c>
      <c r="I455">
        <v>2026</v>
      </c>
      <c r="J455" t="str">
        <f>_xlfn.XLOOKUP(sales[[#This Row],[Product_ID]],products[Product_ID],products[Product_Name])</f>
        <v>Headphones 1</v>
      </c>
      <c r="K455" t="str">
        <f>_xlfn.XLOOKUP(sales[[#This Row],[Store_ID]],stores[Store_ID],stores[Store_Name])</f>
        <v>Warangal Store</v>
      </c>
      <c r="L455" t="str">
        <f>_xlfn.XLOOKUP(sales[[#This Row],[Customer_ID]],customers[Customer_ID],customers[Customer_Name])</f>
        <v>Vikram_61</v>
      </c>
      <c r="M455" t="str">
        <f>IF(sales[[#This Row],[Total_Amount]]&gt;=50000,"High Sales","Low Sales")</f>
        <v>High Sales</v>
      </c>
      <c r="N455">
        <f>sales[[#This Row],[Total_Amount]]/sales[[#This Row],[Quantity]]</f>
        <v>79396.320000000007</v>
      </c>
    </row>
    <row r="456" spans="1:14" x14ac:dyDescent="0.3">
      <c r="A456" t="s">
        <v>1241</v>
      </c>
      <c r="B456">
        <v>1042</v>
      </c>
      <c r="C456" t="s">
        <v>126</v>
      </c>
      <c r="D456" t="s">
        <v>53</v>
      </c>
      <c r="E456" t="s">
        <v>264</v>
      </c>
      <c r="F456">
        <v>4</v>
      </c>
      <c r="G456">
        <v>348083.76</v>
      </c>
      <c r="H456" t="s">
        <v>531</v>
      </c>
      <c r="I456">
        <v>2025</v>
      </c>
      <c r="J456" t="str">
        <f>_xlfn.XLOOKUP(sales[[#This Row],[Product_ID]],products[Product_ID],products[Product_Name])</f>
        <v>Router 28</v>
      </c>
      <c r="K456" t="str">
        <f>_xlfn.XLOOKUP(sales[[#This Row],[Store_ID]],stores[Store_ID],stores[Store_Name])</f>
        <v>Warangal Store</v>
      </c>
      <c r="L456" t="str">
        <f>_xlfn.XLOOKUP(sales[[#This Row],[Customer_ID]],customers[Customer_ID],customers[Customer_Name])</f>
        <v>Nikhil_42</v>
      </c>
      <c r="M456" t="str">
        <f>IF(sales[[#This Row],[Total_Amount]]&gt;=50000,"High Sales","Low Sales")</f>
        <v>High Sales</v>
      </c>
      <c r="N456">
        <f>sales[[#This Row],[Total_Amount]]/sales[[#This Row],[Quantity]]</f>
        <v>87020.94</v>
      </c>
    </row>
    <row r="457" spans="1:14" x14ac:dyDescent="0.3">
      <c r="A457" t="s">
        <v>1242</v>
      </c>
      <c r="B457">
        <v>1048</v>
      </c>
      <c r="C457" t="s">
        <v>81</v>
      </c>
      <c r="D457" t="s">
        <v>42</v>
      </c>
      <c r="E457" t="s">
        <v>1243</v>
      </c>
      <c r="F457">
        <v>3</v>
      </c>
      <c r="G457">
        <v>316581.48</v>
      </c>
      <c r="H457" t="s">
        <v>525</v>
      </c>
      <c r="I457">
        <v>2026</v>
      </c>
      <c r="J457" t="str">
        <f>_xlfn.XLOOKUP(sales[[#This Row],[Product_ID]],products[Product_ID],products[Product_Name])</f>
        <v>Camera 6</v>
      </c>
      <c r="K457" t="str">
        <f>_xlfn.XLOOKUP(sales[[#This Row],[Store_ID]],stores[Store_ID],stores[Store_Name])</f>
        <v>Hyderabad Store</v>
      </c>
      <c r="L457" t="str">
        <f>_xlfn.XLOOKUP(sales[[#This Row],[Customer_ID]],customers[Customer_ID],customers[Customer_Name])</f>
        <v>Rahul_48</v>
      </c>
      <c r="M457" t="str">
        <f>IF(sales[[#This Row],[Total_Amount]]&gt;=50000,"High Sales","Low Sales")</f>
        <v>High Sales</v>
      </c>
      <c r="N457">
        <f>sales[[#This Row],[Total_Amount]]/sales[[#This Row],[Quantity]]</f>
        <v>105527.15999999999</v>
      </c>
    </row>
    <row r="458" spans="1:14" x14ac:dyDescent="0.3">
      <c r="A458" t="s">
        <v>1244</v>
      </c>
      <c r="B458">
        <v>1066</v>
      </c>
      <c r="C458" t="s">
        <v>98</v>
      </c>
      <c r="D458" t="s">
        <v>57</v>
      </c>
      <c r="E458" t="s">
        <v>1245</v>
      </c>
      <c r="F458">
        <v>5</v>
      </c>
      <c r="G458">
        <v>169195.55</v>
      </c>
      <c r="H458" t="s">
        <v>537</v>
      </c>
      <c r="I458">
        <v>2026</v>
      </c>
      <c r="J458" t="str">
        <f>_xlfn.XLOOKUP(sales[[#This Row],[Product_ID]],products[Product_ID],products[Product_Name])</f>
        <v>Camera 14</v>
      </c>
      <c r="K458" t="str">
        <f>_xlfn.XLOOKUP(sales[[#This Row],[Store_ID]],stores[Store_ID],stores[Store_Name])</f>
        <v>Bengaluru Store</v>
      </c>
      <c r="L458" t="str">
        <f>_xlfn.XLOOKUP(sales[[#This Row],[Customer_ID]],customers[Customer_ID],customers[Customer_Name])</f>
        <v>Akhil_66</v>
      </c>
      <c r="M458" t="str">
        <f>IF(sales[[#This Row],[Total_Amount]]&gt;=50000,"High Sales","Low Sales")</f>
        <v>High Sales</v>
      </c>
      <c r="N458">
        <f>sales[[#This Row],[Total_Amount]]/sales[[#This Row],[Quantity]]</f>
        <v>33839.11</v>
      </c>
    </row>
    <row r="459" spans="1:14" x14ac:dyDescent="0.3">
      <c r="A459" t="s">
        <v>1246</v>
      </c>
      <c r="B459">
        <v>1094</v>
      </c>
      <c r="C459" t="s">
        <v>92</v>
      </c>
      <c r="D459" t="s">
        <v>50</v>
      </c>
      <c r="E459" t="s">
        <v>1247</v>
      </c>
      <c r="F459">
        <v>5</v>
      </c>
      <c r="G459">
        <v>24076.05</v>
      </c>
      <c r="H459" t="s">
        <v>545</v>
      </c>
      <c r="I459">
        <v>2026</v>
      </c>
      <c r="J459" t="str">
        <f>_xlfn.XLOOKUP(sales[[#This Row],[Product_ID]],products[Product_ID],products[Product_Name])</f>
        <v>Smartphone 11</v>
      </c>
      <c r="K459" t="str">
        <f>_xlfn.XLOOKUP(sales[[#This Row],[Store_ID]],stores[Store_ID],stores[Store_Name])</f>
        <v>Guntur Store</v>
      </c>
      <c r="L459" t="str">
        <f>_xlfn.XLOOKUP(sales[[#This Row],[Customer_ID]],customers[Customer_ID],customers[Customer_Name])</f>
        <v>Keerthi_94</v>
      </c>
      <c r="M459" t="str">
        <f>IF(sales[[#This Row],[Total_Amount]]&gt;=50000,"High Sales","Low Sales")</f>
        <v>Low Sales</v>
      </c>
      <c r="N459">
        <f>sales[[#This Row],[Total_Amount]]/sales[[#This Row],[Quantity]]</f>
        <v>4815.21</v>
      </c>
    </row>
    <row r="460" spans="1:14" x14ac:dyDescent="0.3">
      <c r="A460" t="s">
        <v>1248</v>
      </c>
      <c r="B460">
        <v>1073</v>
      </c>
      <c r="C460" t="s">
        <v>75</v>
      </c>
      <c r="D460" t="s">
        <v>50</v>
      </c>
      <c r="E460" t="s">
        <v>1249</v>
      </c>
      <c r="F460">
        <v>3</v>
      </c>
      <c r="G460">
        <v>257939.13</v>
      </c>
      <c r="H460" t="s">
        <v>558</v>
      </c>
      <c r="I460">
        <v>2026</v>
      </c>
      <c r="J460" t="str">
        <f>_xlfn.XLOOKUP(sales[[#This Row],[Product_ID]],products[Product_ID],products[Product_Name])</f>
        <v>Smart Watch 3</v>
      </c>
      <c r="K460" t="str">
        <f>_xlfn.XLOOKUP(sales[[#This Row],[Store_ID]],stores[Store_ID],stores[Store_Name])</f>
        <v>Guntur Store</v>
      </c>
      <c r="L460" t="str">
        <f>_xlfn.XLOOKUP(sales[[#This Row],[Customer_ID]],customers[Customer_ID],customers[Customer_Name])</f>
        <v>Arjun_73</v>
      </c>
      <c r="M460" t="str">
        <f>IF(sales[[#This Row],[Total_Amount]]&gt;=50000,"High Sales","Low Sales")</f>
        <v>High Sales</v>
      </c>
      <c r="N460">
        <f>sales[[#This Row],[Total_Amount]]/sales[[#This Row],[Quantity]]</f>
        <v>85979.71</v>
      </c>
    </row>
    <row r="461" spans="1:14" x14ac:dyDescent="0.3">
      <c r="A461" t="s">
        <v>1250</v>
      </c>
      <c r="B461">
        <v>1012</v>
      </c>
      <c r="C461" t="s">
        <v>94</v>
      </c>
      <c r="D461" t="s">
        <v>42</v>
      </c>
      <c r="E461" t="s">
        <v>1164</v>
      </c>
      <c r="F461">
        <v>5</v>
      </c>
      <c r="G461">
        <v>576867.80000000005</v>
      </c>
      <c r="H461" t="s">
        <v>534</v>
      </c>
      <c r="I461">
        <v>2025</v>
      </c>
      <c r="J461" t="str">
        <f>_xlfn.XLOOKUP(sales[[#This Row],[Product_ID]],products[Product_ID],products[Product_Name])</f>
        <v>Mouse 12</v>
      </c>
      <c r="K461" t="str">
        <f>_xlfn.XLOOKUP(sales[[#This Row],[Store_ID]],stores[Store_ID],stores[Store_Name])</f>
        <v>Hyderabad Store</v>
      </c>
      <c r="L461" t="str">
        <f>_xlfn.XLOOKUP(sales[[#This Row],[Customer_ID]],customers[Customer_ID],customers[Customer_Name])</f>
        <v>Anjali_12</v>
      </c>
      <c r="M461" t="str">
        <f>IF(sales[[#This Row],[Total_Amount]]&gt;=50000,"High Sales","Low Sales")</f>
        <v>High Sales</v>
      </c>
      <c r="N461">
        <f>sales[[#This Row],[Total_Amount]]/sales[[#This Row],[Quantity]]</f>
        <v>115373.56000000001</v>
      </c>
    </row>
    <row r="462" spans="1:14" x14ac:dyDescent="0.3">
      <c r="A462" t="s">
        <v>1251</v>
      </c>
      <c r="B462">
        <v>1138</v>
      </c>
      <c r="C462" t="s">
        <v>112</v>
      </c>
      <c r="D462" t="s">
        <v>42</v>
      </c>
      <c r="E462" t="s">
        <v>1252</v>
      </c>
      <c r="F462">
        <v>4</v>
      </c>
      <c r="G462">
        <v>180288.4</v>
      </c>
      <c r="H462" t="s">
        <v>531</v>
      </c>
      <c r="I462">
        <v>2025</v>
      </c>
      <c r="J462" t="str">
        <f>_xlfn.XLOOKUP(sales[[#This Row],[Product_ID]],products[Product_ID],products[Product_Name])</f>
        <v>Monitor 21</v>
      </c>
      <c r="K462" t="str">
        <f>_xlfn.XLOOKUP(sales[[#This Row],[Store_ID]],stores[Store_ID],stores[Store_Name])</f>
        <v>Hyderabad Store</v>
      </c>
      <c r="L462" t="str">
        <f>_xlfn.XLOOKUP(sales[[#This Row],[Customer_ID]],customers[Customer_ID],customers[Customer_Name])</f>
        <v>Rahul_138</v>
      </c>
      <c r="M462" t="str">
        <f>IF(sales[[#This Row],[Total_Amount]]&gt;=50000,"High Sales","Low Sales")</f>
        <v>High Sales</v>
      </c>
      <c r="N462">
        <f>sales[[#This Row],[Total_Amount]]/sales[[#This Row],[Quantity]]</f>
        <v>45072.1</v>
      </c>
    </row>
    <row r="463" spans="1:14" x14ac:dyDescent="0.3">
      <c r="A463" t="s">
        <v>1253</v>
      </c>
      <c r="B463">
        <v>1020</v>
      </c>
      <c r="C463" t="s">
        <v>122</v>
      </c>
      <c r="D463" t="s">
        <v>42</v>
      </c>
      <c r="E463" t="s">
        <v>1254</v>
      </c>
      <c r="F463">
        <v>4</v>
      </c>
      <c r="G463">
        <v>345284.48</v>
      </c>
      <c r="H463" t="s">
        <v>531</v>
      </c>
      <c r="I463">
        <v>2026</v>
      </c>
      <c r="J463" t="str">
        <f>_xlfn.XLOOKUP(sales[[#This Row],[Product_ID]],products[Product_ID],products[Product_Name])</f>
        <v>Router 26</v>
      </c>
      <c r="K463" t="str">
        <f>_xlfn.XLOOKUP(sales[[#This Row],[Store_ID]],stores[Store_ID],stores[Store_Name])</f>
        <v>Hyderabad Store</v>
      </c>
      <c r="L463" t="str">
        <f>_xlfn.XLOOKUP(sales[[#This Row],[Customer_ID]],customers[Customer_ID],customers[Customer_Name])</f>
        <v>Nikhil_20</v>
      </c>
      <c r="M463" t="str">
        <f>IF(sales[[#This Row],[Total_Amount]]&gt;=50000,"High Sales","Low Sales")</f>
        <v>High Sales</v>
      </c>
      <c r="N463">
        <f>sales[[#This Row],[Total_Amount]]/sales[[#This Row],[Quantity]]</f>
        <v>86321.12</v>
      </c>
    </row>
    <row r="464" spans="1:14" x14ac:dyDescent="0.3">
      <c r="A464" t="s">
        <v>1255</v>
      </c>
      <c r="B464">
        <v>1043</v>
      </c>
      <c r="C464" t="s">
        <v>92</v>
      </c>
      <c r="D464" t="s">
        <v>46</v>
      </c>
      <c r="E464" t="s">
        <v>557</v>
      </c>
      <c r="F464">
        <v>3</v>
      </c>
      <c r="G464">
        <v>20876.52</v>
      </c>
      <c r="H464" t="s">
        <v>558</v>
      </c>
      <c r="I464">
        <v>2026</v>
      </c>
      <c r="J464" t="str">
        <f>_xlfn.XLOOKUP(sales[[#This Row],[Product_ID]],products[Product_ID],products[Product_Name])</f>
        <v>Smartphone 11</v>
      </c>
      <c r="K464" t="str">
        <f>_xlfn.XLOOKUP(sales[[#This Row],[Store_ID]],stores[Store_ID],stores[Store_Name])</f>
        <v>Vijayawada Store</v>
      </c>
      <c r="L464" t="str">
        <f>_xlfn.XLOOKUP(sales[[#This Row],[Customer_ID]],customers[Customer_ID],customers[Customer_Name])</f>
        <v>Pooja_43</v>
      </c>
      <c r="M464" t="str">
        <f>IF(sales[[#This Row],[Total_Amount]]&gt;=50000,"High Sales","Low Sales")</f>
        <v>Low Sales</v>
      </c>
      <c r="N464">
        <f>sales[[#This Row],[Total_Amount]]/sales[[#This Row],[Quantity]]</f>
        <v>6958.84</v>
      </c>
    </row>
    <row r="465" spans="1:14" x14ac:dyDescent="0.3">
      <c r="A465" t="s">
        <v>1256</v>
      </c>
      <c r="B465">
        <v>1036</v>
      </c>
      <c r="C465" t="s">
        <v>79</v>
      </c>
      <c r="D465" t="s">
        <v>42</v>
      </c>
      <c r="E465" t="s">
        <v>288</v>
      </c>
      <c r="F465">
        <v>4</v>
      </c>
      <c r="G465">
        <v>457717.96</v>
      </c>
      <c r="H465" t="s">
        <v>522</v>
      </c>
      <c r="I465">
        <v>2025</v>
      </c>
      <c r="J465" t="str">
        <f>_xlfn.XLOOKUP(sales[[#This Row],[Product_ID]],products[Product_ID],products[Product_Name])</f>
        <v>Smartphone 5</v>
      </c>
      <c r="K465" t="str">
        <f>_xlfn.XLOOKUP(sales[[#This Row],[Store_ID]],stores[Store_ID],stores[Store_Name])</f>
        <v>Hyderabad Store</v>
      </c>
      <c r="L465" t="str">
        <f>_xlfn.XLOOKUP(sales[[#This Row],[Customer_ID]],customers[Customer_ID],customers[Customer_Name])</f>
        <v>Ramesh_36</v>
      </c>
      <c r="M465" t="str">
        <f>IF(sales[[#This Row],[Total_Amount]]&gt;=50000,"High Sales","Low Sales")</f>
        <v>High Sales</v>
      </c>
      <c r="N465">
        <f>sales[[#This Row],[Total_Amount]]/sales[[#This Row],[Quantity]]</f>
        <v>114429.49</v>
      </c>
    </row>
    <row r="466" spans="1:14" x14ac:dyDescent="0.3">
      <c r="A466" t="s">
        <v>1257</v>
      </c>
      <c r="B466">
        <v>1145</v>
      </c>
      <c r="C466" t="s">
        <v>79</v>
      </c>
      <c r="D466" t="s">
        <v>42</v>
      </c>
      <c r="E466" t="s">
        <v>780</v>
      </c>
      <c r="F466">
        <v>3</v>
      </c>
      <c r="G466">
        <v>247713.12</v>
      </c>
      <c r="H466" t="s">
        <v>531</v>
      </c>
      <c r="I466">
        <v>2025</v>
      </c>
      <c r="J466" t="str">
        <f>_xlfn.XLOOKUP(sales[[#This Row],[Product_ID]],products[Product_ID],products[Product_Name])</f>
        <v>Smartphone 5</v>
      </c>
      <c r="K466" t="str">
        <f>_xlfn.XLOOKUP(sales[[#This Row],[Store_ID]],stores[Store_ID],stores[Store_Name])</f>
        <v>Hyderabad Store</v>
      </c>
      <c r="L466" t="str">
        <f>_xlfn.XLOOKUP(sales[[#This Row],[Customer_ID]],customers[Customer_ID],customers[Customer_Name])</f>
        <v>Kiran_145</v>
      </c>
      <c r="M466" t="str">
        <f>IF(sales[[#This Row],[Total_Amount]]&gt;=50000,"High Sales","Low Sales")</f>
        <v>High Sales</v>
      </c>
      <c r="N466">
        <f>sales[[#This Row],[Total_Amount]]/sales[[#This Row],[Quantity]]</f>
        <v>82571.039999999994</v>
      </c>
    </row>
    <row r="467" spans="1:14" x14ac:dyDescent="0.3">
      <c r="A467" t="s">
        <v>1258</v>
      </c>
      <c r="B467">
        <v>1099</v>
      </c>
      <c r="C467" t="s">
        <v>128</v>
      </c>
      <c r="D467" t="s">
        <v>48</v>
      </c>
      <c r="E467" t="s">
        <v>805</v>
      </c>
      <c r="F467">
        <v>1</v>
      </c>
      <c r="G467">
        <v>68695.98</v>
      </c>
      <c r="H467" t="s">
        <v>558</v>
      </c>
      <c r="I467">
        <v>2025</v>
      </c>
      <c r="J467" t="str">
        <f>_xlfn.XLOOKUP(sales[[#This Row],[Product_ID]],products[Product_ID],products[Product_Name])</f>
        <v>Printer 29</v>
      </c>
      <c r="K467" t="str">
        <f>_xlfn.XLOOKUP(sales[[#This Row],[Store_ID]],stores[Store_ID],stores[Store_Name])</f>
        <v>Visakhapatnam Store</v>
      </c>
      <c r="L467" t="str">
        <f>_xlfn.XLOOKUP(sales[[#This Row],[Customer_ID]],customers[Customer_ID],customers[Customer_Name])</f>
        <v>Akhil_99</v>
      </c>
      <c r="M467" t="str">
        <f>IF(sales[[#This Row],[Total_Amount]]&gt;=50000,"High Sales","Low Sales")</f>
        <v>High Sales</v>
      </c>
      <c r="N467">
        <f>sales[[#This Row],[Total_Amount]]/sales[[#This Row],[Quantity]]</f>
        <v>68695.98</v>
      </c>
    </row>
    <row r="468" spans="1:14" x14ac:dyDescent="0.3">
      <c r="A468" t="s">
        <v>1259</v>
      </c>
      <c r="B468">
        <v>1175</v>
      </c>
      <c r="C468" t="s">
        <v>118</v>
      </c>
      <c r="D468" t="s">
        <v>59</v>
      </c>
      <c r="E468" t="s">
        <v>197</v>
      </c>
      <c r="F468">
        <v>3</v>
      </c>
      <c r="G468">
        <v>46426.74</v>
      </c>
      <c r="H468" t="s">
        <v>561</v>
      </c>
      <c r="I468">
        <v>2025</v>
      </c>
      <c r="J468" t="str">
        <f>_xlfn.XLOOKUP(sales[[#This Row],[Product_ID]],products[Product_ID],products[Product_Name])</f>
        <v>Tablet 24</v>
      </c>
      <c r="K468" t="str">
        <f>_xlfn.XLOOKUP(sales[[#This Row],[Store_ID]],stores[Store_ID],stores[Store_Name])</f>
        <v>Chennai Store</v>
      </c>
      <c r="L468" t="str">
        <f>_xlfn.XLOOKUP(sales[[#This Row],[Customer_ID]],customers[Customer_ID],customers[Customer_Name])</f>
        <v>Ramesh_175</v>
      </c>
      <c r="M468" t="str">
        <f>IF(sales[[#This Row],[Total_Amount]]&gt;=50000,"High Sales","Low Sales")</f>
        <v>Low Sales</v>
      </c>
      <c r="N468">
        <f>sales[[#This Row],[Total_Amount]]/sales[[#This Row],[Quantity]]</f>
        <v>15475.58</v>
      </c>
    </row>
    <row r="469" spans="1:14" x14ac:dyDescent="0.3">
      <c r="A469" t="s">
        <v>1260</v>
      </c>
      <c r="B469">
        <v>1038</v>
      </c>
      <c r="C469" t="s">
        <v>88</v>
      </c>
      <c r="D469" t="s">
        <v>46</v>
      </c>
      <c r="E469" t="s">
        <v>699</v>
      </c>
      <c r="F469">
        <v>5</v>
      </c>
      <c r="G469">
        <v>401202.95</v>
      </c>
      <c r="H469" t="s">
        <v>525</v>
      </c>
      <c r="I469">
        <v>2026</v>
      </c>
      <c r="J469" t="str">
        <f>_xlfn.XLOOKUP(sales[[#This Row],[Product_ID]],products[Product_ID],products[Product_Name])</f>
        <v>Headphones 9</v>
      </c>
      <c r="K469" t="str">
        <f>_xlfn.XLOOKUP(sales[[#This Row],[Store_ID]],stores[Store_ID],stores[Store_Name])</f>
        <v>Vijayawada Store</v>
      </c>
      <c r="L469" t="str">
        <f>_xlfn.XLOOKUP(sales[[#This Row],[Customer_ID]],customers[Customer_ID],customers[Customer_Name])</f>
        <v>Rahul_38</v>
      </c>
      <c r="M469" t="str">
        <f>IF(sales[[#This Row],[Total_Amount]]&gt;=50000,"High Sales","Low Sales")</f>
        <v>High Sales</v>
      </c>
      <c r="N469">
        <f>sales[[#This Row],[Total_Amount]]/sales[[#This Row],[Quantity]]</f>
        <v>80240.59</v>
      </c>
    </row>
    <row r="470" spans="1:14" x14ac:dyDescent="0.3">
      <c r="A470" t="s">
        <v>1261</v>
      </c>
      <c r="B470">
        <v>1060</v>
      </c>
      <c r="C470" t="s">
        <v>75</v>
      </c>
      <c r="D470" t="s">
        <v>50</v>
      </c>
      <c r="E470" t="s">
        <v>1262</v>
      </c>
      <c r="F470">
        <v>2</v>
      </c>
      <c r="G470">
        <v>116743.64</v>
      </c>
      <c r="H470" t="s">
        <v>540</v>
      </c>
      <c r="I470">
        <v>2025</v>
      </c>
      <c r="J470" t="str">
        <f>_xlfn.XLOOKUP(sales[[#This Row],[Product_ID]],products[Product_ID],products[Product_Name])</f>
        <v>Smart Watch 3</v>
      </c>
      <c r="K470" t="str">
        <f>_xlfn.XLOOKUP(sales[[#This Row],[Store_ID]],stores[Store_ID],stores[Store_Name])</f>
        <v>Guntur Store</v>
      </c>
      <c r="L470" t="str">
        <f>_xlfn.XLOOKUP(sales[[#This Row],[Customer_ID]],customers[Customer_ID],customers[Customer_Name])</f>
        <v>Ravi_60</v>
      </c>
      <c r="M470" t="str">
        <f>IF(sales[[#This Row],[Total_Amount]]&gt;=50000,"High Sales","Low Sales")</f>
        <v>High Sales</v>
      </c>
      <c r="N470">
        <f>sales[[#This Row],[Total_Amount]]/sales[[#This Row],[Quantity]]</f>
        <v>58371.82</v>
      </c>
    </row>
    <row r="471" spans="1:14" x14ac:dyDescent="0.3">
      <c r="A471" t="s">
        <v>1263</v>
      </c>
      <c r="B471">
        <v>1062</v>
      </c>
      <c r="C471" t="s">
        <v>90</v>
      </c>
      <c r="D471" t="s">
        <v>42</v>
      </c>
      <c r="E471" t="s">
        <v>1264</v>
      </c>
      <c r="F471">
        <v>2</v>
      </c>
      <c r="G471">
        <v>115642.02</v>
      </c>
      <c r="H471" t="s">
        <v>534</v>
      </c>
      <c r="I471">
        <v>2025</v>
      </c>
      <c r="J471" t="str">
        <f>_xlfn.XLOOKUP(sales[[#This Row],[Product_ID]],products[Product_ID],products[Product_Name])</f>
        <v>Camera 10</v>
      </c>
      <c r="K471" t="str">
        <f>_xlfn.XLOOKUP(sales[[#This Row],[Store_ID]],stores[Store_ID],stores[Store_Name])</f>
        <v>Hyderabad Store</v>
      </c>
      <c r="L471" t="str">
        <f>_xlfn.XLOOKUP(sales[[#This Row],[Customer_ID]],customers[Customer_ID],customers[Customer_Name])</f>
        <v>Rahul_62</v>
      </c>
      <c r="M471" t="str">
        <f>IF(sales[[#This Row],[Total_Amount]]&gt;=50000,"High Sales","Low Sales")</f>
        <v>High Sales</v>
      </c>
      <c r="N471">
        <f>sales[[#This Row],[Total_Amount]]/sales[[#This Row],[Quantity]]</f>
        <v>57821.01</v>
      </c>
    </row>
    <row r="472" spans="1:14" x14ac:dyDescent="0.3">
      <c r="A472" t="s">
        <v>1265</v>
      </c>
      <c r="B472">
        <v>1147</v>
      </c>
      <c r="C472" t="s">
        <v>79</v>
      </c>
      <c r="D472" t="s">
        <v>57</v>
      </c>
      <c r="E472" t="s">
        <v>1266</v>
      </c>
      <c r="F472">
        <v>4</v>
      </c>
      <c r="G472">
        <v>331964.84000000003</v>
      </c>
      <c r="H472" t="s">
        <v>558</v>
      </c>
      <c r="I472">
        <v>2026</v>
      </c>
      <c r="J472" t="str">
        <f>_xlfn.XLOOKUP(sales[[#This Row],[Product_ID]],products[Product_ID],products[Product_Name])</f>
        <v>Smartphone 5</v>
      </c>
      <c r="K472" t="str">
        <f>_xlfn.XLOOKUP(sales[[#This Row],[Store_ID]],stores[Store_ID],stores[Store_Name])</f>
        <v>Bengaluru Store</v>
      </c>
      <c r="L472" t="str">
        <f>_xlfn.XLOOKUP(sales[[#This Row],[Customer_ID]],customers[Customer_ID],customers[Customer_Name])</f>
        <v>Akhil_147</v>
      </c>
      <c r="M472" t="str">
        <f>IF(sales[[#This Row],[Total_Amount]]&gt;=50000,"High Sales","Low Sales")</f>
        <v>High Sales</v>
      </c>
      <c r="N472">
        <f>sales[[#This Row],[Total_Amount]]/sales[[#This Row],[Quantity]]</f>
        <v>82991.210000000006</v>
      </c>
    </row>
    <row r="473" spans="1:14" x14ac:dyDescent="0.3">
      <c r="A473" t="s">
        <v>1267</v>
      </c>
      <c r="B473">
        <v>1080</v>
      </c>
      <c r="C473" t="s">
        <v>88</v>
      </c>
      <c r="D473" t="s">
        <v>46</v>
      </c>
      <c r="E473" t="s">
        <v>1268</v>
      </c>
      <c r="F473">
        <v>1</v>
      </c>
      <c r="G473">
        <v>71267.850000000006</v>
      </c>
      <c r="H473" t="s">
        <v>537</v>
      </c>
      <c r="I473">
        <v>2026</v>
      </c>
      <c r="J473" t="str">
        <f>_xlfn.XLOOKUP(sales[[#This Row],[Product_ID]],products[Product_ID],products[Product_Name])</f>
        <v>Headphones 9</v>
      </c>
      <c r="K473" t="str">
        <f>_xlfn.XLOOKUP(sales[[#This Row],[Store_ID]],stores[Store_ID],stores[Store_Name])</f>
        <v>Vijayawada Store</v>
      </c>
      <c r="L473" t="str">
        <f>_xlfn.XLOOKUP(sales[[#This Row],[Customer_ID]],customers[Customer_ID],customers[Customer_Name])</f>
        <v>Sita_80</v>
      </c>
      <c r="M473" t="str">
        <f>IF(sales[[#This Row],[Total_Amount]]&gt;=50000,"High Sales","Low Sales")</f>
        <v>High Sales</v>
      </c>
      <c r="N473">
        <f>sales[[#This Row],[Total_Amount]]/sales[[#This Row],[Quantity]]</f>
        <v>71267.850000000006</v>
      </c>
    </row>
    <row r="474" spans="1:14" x14ac:dyDescent="0.3">
      <c r="A474" t="s">
        <v>1269</v>
      </c>
      <c r="B474">
        <v>1191</v>
      </c>
      <c r="C474" t="s">
        <v>130</v>
      </c>
      <c r="D474" t="s">
        <v>57</v>
      </c>
      <c r="E474" t="s">
        <v>1270</v>
      </c>
      <c r="F474">
        <v>3</v>
      </c>
      <c r="G474">
        <v>92856.75</v>
      </c>
      <c r="H474" t="s">
        <v>545</v>
      </c>
      <c r="I474">
        <v>2026</v>
      </c>
      <c r="J474" t="str">
        <f>_xlfn.XLOOKUP(sales[[#This Row],[Product_ID]],products[Product_ID],products[Product_Name])</f>
        <v>Monitor 30</v>
      </c>
      <c r="K474" t="str">
        <f>_xlfn.XLOOKUP(sales[[#This Row],[Store_ID]],stores[Store_ID],stores[Store_Name])</f>
        <v>Bengaluru Store</v>
      </c>
      <c r="L474" t="str">
        <f>_xlfn.XLOOKUP(sales[[#This Row],[Customer_ID]],customers[Customer_ID],customers[Customer_Name])</f>
        <v>Akhil_191</v>
      </c>
      <c r="M474" t="str">
        <f>IF(sales[[#This Row],[Total_Amount]]&gt;=50000,"High Sales","Low Sales")</f>
        <v>High Sales</v>
      </c>
      <c r="N474">
        <f>sales[[#This Row],[Total_Amount]]/sales[[#This Row],[Quantity]]</f>
        <v>30952.25</v>
      </c>
    </row>
    <row r="475" spans="1:14" x14ac:dyDescent="0.3">
      <c r="A475" t="s">
        <v>1271</v>
      </c>
      <c r="B475">
        <v>1158</v>
      </c>
      <c r="C475" t="s">
        <v>69</v>
      </c>
      <c r="D475" t="s">
        <v>53</v>
      </c>
      <c r="E475" t="s">
        <v>1272</v>
      </c>
      <c r="F475">
        <v>1</v>
      </c>
      <c r="G475">
        <v>101275.49</v>
      </c>
      <c r="H475" t="s">
        <v>531</v>
      </c>
      <c r="I475">
        <v>2026</v>
      </c>
      <c r="J475" t="str">
        <f>_xlfn.XLOOKUP(sales[[#This Row],[Product_ID]],products[Product_ID],products[Product_Name])</f>
        <v>Headphones 1</v>
      </c>
      <c r="K475" t="str">
        <f>_xlfn.XLOOKUP(sales[[#This Row],[Store_ID]],stores[Store_ID],stores[Store_Name])</f>
        <v>Warangal Store</v>
      </c>
      <c r="L475" t="str">
        <f>_xlfn.XLOOKUP(sales[[#This Row],[Customer_ID]],customers[Customer_ID],customers[Customer_Name])</f>
        <v>Akhil_158</v>
      </c>
      <c r="M475" t="str">
        <f>IF(sales[[#This Row],[Total_Amount]]&gt;=50000,"High Sales","Low Sales")</f>
        <v>High Sales</v>
      </c>
      <c r="N475">
        <f>sales[[#This Row],[Total_Amount]]/sales[[#This Row],[Quantity]]</f>
        <v>101275.49</v>
      </c>
    </row>
    <row r="476" spans="1:14" x14ac:dyDescent="0.3">
      <c r="A476" t="s">
        <v>1273</v>
      </c>
      <c r="B476">
        <v>1070</v>
      </c>
      <c r="C476" t="s">
        <v>72</v>
      </c>
      <c r="D476" t="s">
        <v>48</v>
      </c>
      <c r="E476" t="s">
        <v>1268</v>
      </c>
      <c r="F476">
        <v>2</v>
      </c>
      <c r="G476">
        <v>114377.48</v>
      </c>
      <c r="H476" t="s">
        <v>537</v>
      </c>
      <c r="I476">
        <v>2026</v>
      </c>
      <c r="J476" t="str">
        <f>_xlfn.XLOOKUP(sales[[#This Row],[Product_ID]],products[Product_ID],products[Product_Name])</f>
        <v>Headphones 2</v>
      </c>
      <c r="K476" t="str">
        <f>_xlfn.XLOOKUP(sales[[#This Row],[Store_ID]],stores[Store_ID],stores[Store_Name])</f>
        <v>Visakhapatnam Store</v>
      </c>
      <c r="L476" t="str">
        <f>_xlfn.XLOOKUP(sales[[#This Row],[Customer_ID]],customers[Customer_ID],customers[Customer_Name])</f>
        <v>Keerthi_70</v>
      </c>
      <c r="M476" t="str">
        <f>IF(sales[[#This Row],[Total_Amount]]&gt;=50000,"High Sales","Low Sales")</f>
        <v>High Sales</v>
      </c>
      <c r="N476">
        <f>sales[[#This Row],[Total_Amount]]/sales[[#This Row],[Quantity]]</f>
        <v>57188.74</v>
      </c>
    </row>
    <row r="477" spans="1:14" x14ac:dyDescent="0.3">
      <c r="A477" t="s">
        <v>1274</v>
      </c>
      <c r="B477">
        <v>1177</v>
      </c>
      <c r="C477" t="s">
        <v>112</v>
      </c>
      <c r="D477" t="s">
        <v>50</v>
      </c>
      <c r="E477" t="s">
        <v>188</v>
      </c>
      <c r="F477">
        <v>2</v>
      </c>
      <c r="G477">
        <v>125178.78</v>
      </c>
      <c r="H477" t="s">
        <v>540</v>
      </c>
      <c r="I477">
        <v>2025</v>
      </c>
      <c r="J477" t="str">
        <f>_xlfn.XLOOKUP(sales[[#This Row],[Product_ID]],products[Product_ID],products[Product_Name])</f>
        <v>Monitor 21</v>
      </c>
      <c r="K477" t="str">
        <f>_xlfn.XLOOKUP(sales[[#This Row],[Store_ID]],stores[Store_ID],stores[Store_Name])</f>
        <v>Guntur Store</v>
      </c>
      <c r="L477" t="str">
        <f>_xlfn.XLOOKUP(sales[[#This Row],[Customer_ID]],customers[Customer_ID],customers[Customer_Name])</f>
        <v>Vikram_177</v>
      </c>
      <c r="M477" t="str">
        <f>IF(sales[[#This Row],[Total_Amount]]&gt;=50000,"High Sales","Low Sales")</f>
        <v>High Sales</v>
      </c>
      <c r="N477">
        <f>sales[[#This Row],[Total_Amount]]/sales[[#This Row],[Quantity]]</f>
        <v>62589.39</v>
      </c>
    </row>
    <row r="478" spans="1:14" x14ac:dyDescent="0.3">
      <c r="A478" t="s">
        <v>1275</v>
      </c>
      <c r="B478">
        <v>1094</v>
      </c>
      <c r="C478" t="s">
        <v>98</v>
      </c>
      <c r="D478" t="s">
        <v>42</v>
      </c>
      <c r="E478" t="s">
        <v>1276</v>
      </c>
      <c r="F478">
        <v>4</v>
      </c>
      <c r="G478">
        <v>458286.36</v>
      </c>
      <c r="H478" t="s">
        <v>545</v>
      </c>
      <c r="I478">
        <v>2026</v>
      </c>
      <c r="J478" t="str">
        <f>_xlfn.XLOOKUP(sales[[#This Row],[Product_ID]],products[Product_ID],products[Product_Name])</f>
        <v>Camera 14</v>
      </c>
      <c r="K478" t="str">
        <f>_xlfn.XLOOKUP(sales[[#This Row],[Store_ID]],stores[Store_ID],stores[Store_Name])</f>
        <v>Hyderabad Store</v>
      </c>
      <c r="L478" t="str">
        <f>_xlfn.XLOOKUP(sales[[#This Row],[Customer_ID]],customers[Customer_ID],customers[Customer_Name])</f>
        <v>Keerthi_94</v>
      </c>
      <c r="M478" t="str">
        <f>IF(sales[[#This Row],[Total_Amount]]&gt;=50000,"High Sales","Low Sales")</f>
        <v>High Sales</v>
      </c>
      <c r="N478">
        <f>sales[[#This Row],[Total_Amount]]/sales[[#This Row],[Quantity]]</f>
        <v>114571.59</v>
      </c>
    </row>
    <row r="479" spans="1:14" x14ac:dyDescent="0.3">
      <c r="A479" t="s">
        <v>1277</v>
      </c>
      <c r="B479">
        <v>1059</v>
      </c>
      <c r="C479" t="s">
        <v>84</v>
      </c>
      <c r="D479" t="s">
        <v>50</v>
      </c>
      <c r="E479" t="s">
        <v>619</v>
      </c>
      <c r="F479">
        <v>2</v>
      </c>
      <c r="G479">
        <v>211495.48</v>
      </c>
      <c r="H479" t="s">
        <v>531</v>
      </c>
      <c r="I479">
        <v>2026</v>
      </c>
      <c r="J479" t="str">
        <f>_xlfn.XLOOKUP(sales[[#This Row],[Product_ID]],products[Product_ID],products[Product_Name])</f>
        <v>Headphones 7</v>
      </c>
      <c r="K479" t="str">
        <f>_xlfn.XLOOKUP(sales[[#This Row],[Store_ID]],stores[Store_ID],stores[Store_Name])</f>
        <v>Guntur Store</v>
      </c>
      <c r="L479" t="str">
        <f>_xlfn.XLOOKUP(sales[[#This Row],[Customer_ID]],customers[Customer_ID],customers[Customer_Name])</f>
        <v>Ravi_59</v>
      </c>
      <c r="M479" t="str">
        <f>IF(sales[[#This Row],[Total_Amount]]&gt;=50000,"High Sales","Low Sales")</f>
        <v>High Sales</v>
      </c>
      <c r="N479">
        <f>sales[[#This Row],[Total_Amount]]/sales[[#This Row],[Quantity]]</f>
        <v>105747.74</v>
      </c>
    </row>
    <row r="480" spans="1:14" x14ac:dyDescent="0.3">
      <c r="A480" t="s">
        <v>1278</v>
      </c>
      <c r="B480">
        <v>1158</v>
      </c>
      <c r="C480" t="s">
        <v>79</v>
      </c>
      <c r="D480" t="s">
        <v>48</v>
      </c>
      <c r="E480" t="s">
        <v>1279</v>
      </c>
      <c r="F480">
        <v>2</v>
      </c>
      <c r="G480">
        <v>17978.259999999998</v>
      </c>
      <c r="H480" t="s">
        <v>528</v>
      </c>
      <c r="I480">
        <v>2025</v>
      </c>
      <c r="J480" t="str">
        <f>_xlfn.XLOOKUP(sales[[#This Row],[Product_ID]],products[Product_ID],products[Product_Name])</f>
        <v>Smartphone 5</v>
      </c>
      <c r="K480" t="str">
        <f>_xlfn.XLOOKUP(sales[[#This Row],[Store_ID]],stores[Store_ID],stores[Store_Name])</f>
        <v>Visakhapatnam Store</v>
      </c>
      <c r="L480" t="str">
        <f>_xlfn.XLOOKUP(sales[[#This Row],[Customer_ID]],customers[Customer_ID],customers[Customer_Name])</f>
        <v>Akhil_158</v>
      </c>
      <c r="M480" t="str">
        <f>IF(sales[[#This Row],[Total_Amount]]&gt;=50000,"High Sales","Low Sales")</f>
        <v>Low Sales</v>
      </c>
      <c r="N480">
        <f>sales[[#This Row],[Total_Amount]]/sales[[#This Row],[Quantity]]</f>
        <v>8989.1299999999992</v>
      </c>
    </row>
    <row r="481" spans="1:14" x14ac:dyDescent="0.3">
      <c r="A481" t="s">
        <v>1280</v>
      </c>
      <c r="B481">
        <v>1035</v>
      </c>
      <c r="C481" t="s">
        <v>114</v>
      </c>
      <c r="D481" t="s">
        <v>59</v>
      </c>
      <c r="E481" t="s">
        <v>696</v>
      </c>
      <c r="F481">
        <v>5</v>
      </c>
      <c r="G481">
        <v>252192.35</v>
      </c>
      <c r="H481" t="s">
        <v>528</v>
      </c>
      <c r="I481">
        <v>2025</v>
      </c>
      <c r="J481" t="str">
        <f>_xlfn.XLOOKUP(sales[[#This Row],[Product_ID]],products[Product_ID],products[Product_Name])</f>
        <v>Mixer 22</v>
      </c>
      <c r="K481" t="str">
        <f>_xlfn.XLOOKUP(sales[[#This Row],[Store_ID]],stores[Store_ID],stores[Store_Name])</f>
        <v>Chennai Store</v>
      </c>
      <c r="L481" t="str">
        <f>_xlfn.XLOOKUP(sales[[#This Row],[Customer_ID]],customers[Customer_ID],customers[Customer_Name])</f>
        <v>Priya_35</v>
      </c>
      <c r="M481" t="str">
        <f>IF(sales[[#This Row],[Total_Amount]]&gt;=50000,"High Sales","Low Sales")</f>
        <v>High Sales</v>
      </c>
      <c r="N481">
        <f>sales[[#This Row],[Total_Amount]]/sales[[#This Row],[Quantity]]</f>
        <v>50438.47</v>
      </c>
    </row>
    <row r="482" spans="1:14" x14ac:dyDescent="0.3">
      <c r="A482" t="s">
        <v>1281</v>
      </c>
      <c r="B482">
        <v>1029</v>
      </c>
      <c r="C482" t="s">
        <v>102</v>
      </c>
      <c r="D482" t="s">
        <v>57</v>
      </c>
      <c r="E482" t="s">
        <v>789</v>
      </c>
      <c r="F482">
        <v>4</v>
      </c>
      <c r="G482">
        <v>199090.56</v>
      </c>
      <c r="H482" t="s">
        <v>575</v>
      </c>
      <c r="I482">
        <v>2026</v>
      </c>
      <c r="J482" t="str">
        <f>_xlfn.XLOOKUP(sales[[#This Row],[Product_ID]],products[Product_ID],products[Product_Name])</f>
        <v>Power Bank 16</v>
      </c>
      <c r="K482" t="str">
        <f>_xlfn.XLOOKUP(sales[[#This Row],[Store_ID]],stores[Store_ID],stores[Store_Name])</f>
        <v>Bengaluru Store</v>
      </c>
      <c r="L482" t="str">
        <f>_xlfn.XLOOKUP(sales[[#This Row],[Customer_ID]],customers[Customer_ID],customers[Customer_Name])</f>
        <v>Kiran_29</v>
      </c>
      <c r="M482" t="str">
        <f>IF(sales[[#This Row],[Total_Amount]]&gt;=50000,"High Sales","Low Sales")</f>
        <v>High Sales</v>
      </c>
      <c r="N482">
        <f>sales[[#This Row],[Total_Amount]]/sales[[#This Row],[Quantity]]</f>
        <v>49772.639999999999</v>
      </c>
    </row>
    <row r="483" spans="1:14" x14ac:dyDescent="0.3">
      <c r="A483" t="s">
        <v>1282</v>
      </c>
      <c r="B483">
        <v>1178</v>
      </c>
      <c r="C483" t="s">
        <v>106</v>
      </c>
      <c r="D483" t="s">
        <v>53</v>
      </c>
      <c r="E483" t="s">
        <v>719</v>
      </c>
      <c r="F483">
        <v>5</v>
      </c>
      <c r="G483">
        <v>376838.1</v>
      </c>
      <c r="H483" t="s">
        <v>540</v>
      </c>
      <c r="I483">
        <v>2025</v>
      </c>
      <c r="J483" t="str">
        <f>_xlfn.XLOOKUP(sales[[#This Row],[Product_ID]],products[Product_ID],products[Product_Name])</f>
        <v>Microwave 18</v>
      </c>
      <c r="K483" t="str">
        <f>_xlfn.XLOOKUP(sales[[#This Row],[Store_ID]],stores[Store_ID],stores[Store_Name])</f>
        <v>Warangal Store</v>
      </c>
      <c r="L483" t="str">
        <f>_xlfn.XLOOKUP(sales[[#This Row],[Customer_ID]],customers[Customer_ID],customers[Customer_Name])</f>
        <v>Divya_178</v>
      </c>
      <c r="M483" t="str">
        <f>IF(sales[[#This Row],[Total_Amount]]&gt;=50000,"High Sales","Low Sales")</f>
        <v>High Sales</v>
      </c>
      <c r="N483">
        <f>sales[[#This Row],[Total_Amount]]/sales[[#This Row],[Quantity]]</f>
        <v>75367.62</v>
      </c>
    </row>
    <row r="484" spans="1:14" x14ac:dyDescent="0.3">
      <c r="A484" t="s">
        <v>1283</v>
      </c>
      <c r="B484">
        <v>1193</v>
      </c>
      <c r="C484" t="s">
        <v>96</v>
      </c>
      <c r="D484" t="s">
        <v>42</v>
      </c>
      <c r="E484" t="s">
        <v>276</v>
      </c>
      <c r="F484">
        <v>1</v>
      </c>
      <c r="G484">
        <v>108975.61</v>
      </c>
      <c r="H484" t="s">
        <v>540</v>
      </c>
      <c r="I484">
        <v>2025</v>
      </c>
      <c r="J484" t="str">
        <f>_xlfn.XLOOKUP(sales[[#This Row],[Product_ID]],products[Product_ID],products[Product_Name])</f>
        <v>Printer 13</v>
      </c>
      <c r="K484" t="str">
        <f>_xlfn.XLOOKUP(sales[[#This Row],[Store_ID]],stores[Store_ID],stores[Store_Name])</f>
        <v>Hyderabad Store</v>
      </c>
      <c r="L484" t="str">
        <f>_xlfn.XLOOKUP(sales[[#This Row],[Customer_ID]],customers[Customer_ID],customers[Customer_Name])</f>
        <v>Priya_193</v>
      </c>
      <c r="M484" t="str">
        <f>IF(sales[[#This Row],[Total_Amount]]&gt;=50000,"High Sales","Low Sales")</f>
        <v>High Sales</v>
      </c>
      <c r="N484">
        <f>sales[[#This Row],[Total_Amount]]/sales[[#This Row],[Quantity]]</f>
        <v>108975.61</v>
      </c>
    </row>
    <row r="485" spans="1:14" x14ac:dyDescent="0.3">
      <c r="A485" t="s">
        <v>1284</v>
      </c>
      <c r="B485">
        <v>1073</v>
      </c>
      <c r="C485" t="s">
        <v>94</v>
      </c>
      <c r="D485" t="s">
        <v>53</v>
      </c>
      <c r="E485" t="s">
        <v>672</v>
      </c>
      <c r="F485">
        <v>1</v>
      </c>
      <c r="G485">
        <v>26143.58</v>
      </c>
      <c r="H485" t="s">
        <v>558</v>
      </c>
      <c r="I485">
        <v>2026</v>
      </c>
      <c r="J485" t="str">
        <f>_xlfn.XLOOKUP(sales[[#This Row],[Product_ID]],products[Product_ID],products[Product_Name])</f>
        <v>Mouse 12</v>
      </c>
      <c r="K485" t="str">
        <f>_xlfn.XLOOKUP(sales[[#This Row],[Store_ID]],stores[Store_ID],stores[Store_Name])</f>
        <v>Warangal Store</v>
      </c>
      <c r="L485" t="str">
        <f>_xlfn.XLOOKUP(sales[[#This Row],[Customer_ID]],customers[Customer_ID],customers[Customer_Name])</f>
        <v>Arjun_73</v>
      </c>
      <c r="M485" t="str">
        <f>IF(sales[[#This Row],[Total_Amount]]&gt;=50000,"High Sales","Low Sales")</f>
        <v>Low Sales</v>
      </c>
      <c r="N485">
        <f>sales[[#This Row],[Total_Amount]]/sales[[#This Row],[Quantity]]</f>
        <v>26143.58</v>
      </c>
    </row>
    <row r="486" spans="1:14" x14ac:dyDescent="0.3">
      <c r="A486" t="s">
        <v>1285</v>
      </c>
      <c r="B486">
        <v>1082</v>
      </c>
      <c r="C486" t="s">
        <v>72</v>
      </c>
      <c r="D486" t="s">
        <v>57</v>
      </c>
      <c r="E486" t="s">
        <v>301</v>
      </c>
      <c r="F486">
        <v>4</v>
      </c>
      <c r="G486">
        <v>340043.12</v>
      </c>
      <c r="H486" t="s">
        <v>522</v>
      </c>
      <c r="I486">
        <v>2025</v>
      </c>
      <c r="J486" t="str">
        <f>_xlfn.XLOOKUP(sales[[#This Row],[Product_ID]],products[Product_ID],products[Product_Name])</f>
        <v>Headphones 2</v>
      </c>
      <c r="K486" t="str">
        <f>_xlfn.XLOOKUP(sales[[#This Row],[Store_ID]],stores[Store_ID],stores[Store_Name])</f>
        <v>Bengaluru Store</v>
      </c>
      <c r="L486" t="str">
        <f>_xlfn.XLOOKUP(sales[[#This Row],[Customer_ID]],customers[Customer_ID],customers[Customer_Name])</f>
        <v>Keerthi_82</v>
      </c>
      <c r="M486" t="str">
        <f>IF(sales[[#This Row],[Total_Amount]]&gt;=50000,"High Sales","Low Sales")</f>
        <v>High Sales</v>
      </c>
      <c r="N486">
        <f>sales[[#This Row],[Total_Amount]]/sales[[#This Row],[Quantity]]</f>
        <v>85010.78</v>
      </c>
    </row>
    <row r="487" spans="1:14" x14ac:dyDescent="0.3">
      <c r="A487" t="s">
        <v>1286</v>
      </c>
      <c r="B487">
        <v>1002</v>
      </c>
      <c r="C487" t="s">
        <v>81</v>
      </c>
      <c r="D487" t="s">
        <v>53</v>
      </c>
      <c r="E487" t="s">
        <v>1287</v>
      </c>
      <c r="F487">
        <v>2</v>
      </c>
      <c r="G487">
        <v>156953.16</v>
      </c>
      <c r="H487" t="s">
        <v>545</v>
      </c>
      <c r="I487">
        <v>2026</v>
      </c>
      <c r="J487" t="str">
        <f>_xlfn.XLOOKUP(sales[[#This Row],[Product_ID]],products[Product_ID],products[Product_Name])</f>
        <v>Camera 6</v>
      </c>
      <c r="K487" t="str">
        <f>_xlfn.XLOOKUP(sales[[#This Row],[Store_ID]],stores[Store_ID],stores[Store_Name])</f>
        <v>Warangal Store</v>
      </c>
      <c r="L487" t="str">
        <f>_xlfn.XLOOKUP(sales[[#This Row],[Customer_ID]],customers[Customer_ID],customers[Customer_Name])</f>
        <v>Ramesh_2</v>
      </c>
      <c r="M487" t="str">
        <f>IF(sales[[#This Row],[Total_Amount]]&gt;=50000,"High Sales","Low Sales")</f>
        <v>High Sales</v>
      </c>
      <c r="N487">
        <f>sales[[#This Row],[Total_Amount]]/sales[[#This Row],[Quantity]]</f>
        <v>78476.58</v>
      </c>
    </row>
    <row r="488" spans="1:14" x14ac:dyDescent="0.3">
      <c r="A488" t="s">
        <v>1288</v>
      </c>
      <c r="B488">
        <v>1161</v>
      </c>
      <c r="C488" t="s">
        <v>114</v>
      </c>
      <c r="D488" t="s">
        <v>59</v>
      </c>
      <c r="E488" t="s">
        <v>1289</v>
      </c>
      <c r="F488">
        <v>5</v>
      </c>
      <c r="G488">
        <v>503174.40000000002</v>
      </c>
      <c r="H488" t="s">
        <v>525</v>
      </c>
      <c r="I488">
        <v>2026</v>
      </c>
      <c r="J488" t="str">
        <f>_xlfn.XLOOKUP(sales[[#This Row],[Product_ID]],products[Product_ID],products[Product_Name])</f>
        <v>Mixer 22</v>
      </c>
      <c r="K488" t="str">
        <f>_xlfn.XLOOKUP(sales[[#This Row],[Store_ID]],stores[Store_ID],stores[Store_Name])</f>
        <v>Chennai Store</v>
      </c>
      <c r="L488" t="str">
        <f>_xlfn.XLOOKUP(sales[[#This Row],[Customer_ID]],customers[Customer_ID],customers[Customer_Name])</f>
        <v>Arjun_161</v>
      </c>
      <c r="M488" t="str">
        <f>IF(sales[[#This Row],[Total_Amount]]&gt;=50000,"High Sales","Low Sales")</f>
        <v>High Sales</v>
      </c>
      <c r="N488">
        <f>sales[[#This Row],[Total_Amount]]/sales[[#This Row],[Quantity]]</f>
        <v>100634.88</v>
      </c>
    </row>
    <row r="489" spans="1:14" x14ac:dyDescent="0.3">
      <c r="A489" t="s">
        <v>1290</v>
      </c>
      <c r="B489">
        <v>1050</v>
      </c>
      <c r="C489" t="s">
        <v>130</v>
      </c>
      <c r="D489" t="s">
        <v>59</v>
      </c>
      <c r="E489" t="s">
        <v>266</v>
      </c>
      <c r="F489">
        <v>3</v>
      </c>
      <c r="G489">
        <v>358517.04</v>
      </c>
      <c r="H489" t="s">
        <v>575</v>
      </c>
      <c r="I489">
        <v>2025</v>
      </c>
      <c r="J489" t="str">
        <f>_xlfn.XLOOKUP(sales[[#This Row],[Product_ID]],products[Product_ID],products[Product_Name])</f>
        <v>Monitor 30</v>
      </c>
      <c r="K489" t="str">
        <f>_xlfn.XLOOKUP(sales[[#This Row],[Store_ID]],stores[Store_ID],stores[Store_Name])</f>
        <v>Chennai Store</v>
      </c>
      <c r="L489" t="str">
        <f>_xlfn.XLOOKUP(sales[[#This Row],[Customer_ID]],customers[Customer_ID],customers[Customer_Name])</f>
        <v>Sneha_50</v>
      </c>
      <c r="M489" t="str">
        <f>IF(sales[[#This Row],[Total_Amount]]&gt;=50000,"High Sales","Low Sales")</f>
        <v>High Sales</v>
      </c>
      <c r="N489">
        <f>sales[[#This Row],[Total_Amount]]/sales[[#This Row],[Quantity]]</f>
        <v>119505.68</v>
      </c>
    </row>
    <row r="490" spans="1:14" x14ac:dyDescent="0.3">
      <c r="A490" t="s">
        <v>1291</v>
      </c>
      <c r="B490">
        <v>1088</v>
      </c>
      <c r="C490" t="s">
        <v>100</v>
      </c>
      <c r="D490" t="s">
        <v>42</v>
      </c>
      <c r="E490" t="s">
        <v>184</v>
      </c>
      <c r="F490">
        <v>4</v>
      </c>
      <c r="G490">
        <v>454190.32</v>
      </c>
      <c r="H490" t="s">
        <v>537</v>
      </c>
      <c r="I490">
        <v>2025</v>
      </c>
      <c r="J490" t="str">
        <f>_xlfn.XLOOKUP(sales[[#This Row],[Product_ID]],products[Product_ID],products[Product_Name])</f>
        <v>Tablet 15</v>
      </c>
      <c r="K490" t="str">
        <f>_xlfn.XLOOKUP(sales[[#This Row],[Store_ID]],stores[Store_ID],stores[Store_Name])</f>
        <v>Hyderabad Store</v>
      </c>
      <c r="L490" t="str">
        <f>_xlfn.XLOOKUP(sales[[#This Row],[Customer_ID]],customers[Customer_ID],customers[Customer_Name])</f>
        <v>Anjali_88</v>
      </c>
      <c r="M490" t="str">
        <f>IF(sales[[#This Row],[Total_Amount]]&gt;=50000,"High Sales","Low Sales")</f>
        <v>High Sales</v>
      </c>
      <c r="N490">
        <f>sales[[#This Row],[Total_Amount]]/sales[[#This Row],[Quantity]]</f>
        <v>113547.58</v>
      </c>
    </row>
    <row r="491" spans="1:14" x14ac:dyDescent="0.3">
      <c r="A491" t="s">
        <v>1292</v>
      </c>
      <c r="B491">
        <v>1064</v>
      </c>
      <c r="C491" t="s">
        <v>122</v>
      </c>
      <c r="D491" t="s">
        <v>59</v>
      </c>
      <c r="E491" t="s">
        <v>823</v>
      </c>
      <c r="F491">
        <v>3</v>
      </c>
      <c r="G491">
        <v>223353.48</v>
      </c>
      <c r="H491" t="s">
        <v>522</v>
      </c>
      <c r="I491">
        <v>2025</v>
      </c>
      <c r="J491" t="str">
        <f>_xlfn.XLOOKUP(sales[[#This Row],[Product_ID]],products[Product_ID],products[Product_Name])</f>
        <v>Router 26</v>
      </c>
      <c r="K491" t="str">
        <f>_xlfn.XLOOKUP(sales[[#This Row],[Store_ID]],stores[Store_ID],stores[Store_Name])</f>
        <v>Chennai Store</v>
      </c>
      <c r="L491" t="str">
        <f>_xlfn.XLOOKUP(sales[[#This Row],[Customer_ID]],customers[Customer_ID],customers[Customer_Name])</f>
        <v>Anjali_64</v>
      </c>
      <c r="M491" t="str">
        <f>IF(sales[[#This Row],[Total_Amount]]&gt;=50000,"High Sales","Low Sales")</f>
        <v>High Sales</v>
      </c>
      <c r="N491">
        <f>sales[[#This Row],[Total_Amount]]/sales[[#This Row],[Quantity]]</f>
        <v>74451.16</v>
      </c>
    </row>
    <row r="492" spans="1:14" x14ac:dyDescent="0.3">
      <c r="A492" t="s">
        <v>1293</v>
      </c>
      <c r="B492">
        <v>1154</v>
      </c>
      <c r="C492" t="s">
        <v>120</v>
      </c>
      <c r="D492" t="s">
        <v>57</v>
      </c>
      <c r="E492" t="s">
        <v>708</v>
      </c>
      <c r="F492">
        <v>2</v>
      </c>
      <c r="G492">
        <v>70466.02</v>
      </c>
      <c r="H492" t="s">
        <v>572</v>
      </c>
      <c r="I492">
        <v>2025</v>
      </c>
      <c r="J492" t="str">
        <f>_xlfn.XLOOKUP(sales[[#This Row],[Product_ID]],products[Product_ID],products[Product_Name])</f>
        <v>Printer 25</v>
      </c>
      <c r="K492" t="str">
        <f>_xlfn.XLOOKUP(sales[[#This Row],[Store_ID]],stores[Store_ID],stores[Store_Name])</f>
        <v>Bengaluru Store</v>
      </c>
      <c r="L492" t="str">
        <f>_xlfn.XLOOKUP(sales[[#This Row],[Customer_ID]],customers[Customer_ID],customers[Customer_Name])</f>
        <v>Priya_154</v>
      </c>
      <c r="M492" t="str">
        <f>IF(sales[[#This Row],[Total_Amount]]&gt;=50000,"High Sales","Low Sales")</f>
        <v>High Sales</v>
      </c>
      <c r="N492">
        <f>sales[[#This Row],[Total_Amount]]/sales[[#This Row],[Quantity]]</f>
        <v>35233.01</v>
      </c>
    </row>
    <row r="493" spans="1:14" x14ac:dyDescent="0.3">
      <c r="A493" t="s">
        <v>1294</v>
      </c>
      <c r="B493">
        <v>1079</v>
      </c>
      <c r="C493" t="s">
        <v>75</v>
      </c>
      <c r="D493" t="s">
        <v>50</v>
      </c>
      <c r="E493" t="s">
        <v>1295</v>
      </c>
      <c r="F493">
        <v>4</v>
      </c>
      <c r="G493">
        <v>53325.120000000003</v>
      </c>
      <c r="H493" t="s">
        <v>540</v>
      </c>
      <c r="I493">
        <v>2025</v>
      </c>
      <c r="J493" t="str">
        <f>_xlfn.XLOOKUP(sales[[#This Row],[Product_ID]],products[Product_ID],products[Product_Name])</f>
        <v>Smart Watch 3</v>
      </c>
      <c r="K493" t="str">
        <f>_xlfn.XLOOKUP(sales[[#This Row],[Store_ID]],stores[Store_ID],stores[Store_Name])</f>
        <v>Guntur Store</v>
      </c>
      <c r="L493" t="str">
        <f>_xlfn.XLOOKUP(sales[[#This Row],[Customer_ID]],customers[Customer_ID],customers[Customer_Name])</f>
        <v>Priya_79</v>
      </c>
      <c r="M493" t="str">
        <f>IF(sales[[#This Row],[Total_Amount]]&gt;=50000,"High Sales","Low Sales")</f>
        <v>High Sales</v>
      </c>
      <c r="N493">
        <f>sales[[#This Row],[Total_Amount]]/sales[[#This Row],[Quantity]]</f>
        <v>13331.28</v>
      </c>
    </row>
    <row r="494" spans="1:14" x14ac:dyDescent="0.3">
      <c r="A494" t="s">
        <v>1296</v>
      </c>
      <c r="B494">
        <v>1162</v>
      </c>
      <c r="C494" t="s">
        <v>124</v>
      </c>
      <c r="D494" t="s">
        <v>53</v>
      </c>
      <c r="E494" t="s">
        <v>440</v>
      </c>
      <c r="F494">
        <v>5</v>
      </c>
      <c r="G494">
        <v>419996.45</v>
      </c>
      <c r="H494" t="s">
        <v>545</v>
      </c>
      <c r="I494">
        <v>2025</v>
      </c>
      <c r="J494" t="str">
        <f>_xlfn.XLOOKUP(sales[[#This Row],[Product_ID]],products[Product_ID],products[Product_Name])</f>
        <v>Mixer 27</v>
      </c>
      <c r="K494" t="str">
        <f>_xlfn.XLOOKUP(sales[[#This Row],[Store_ID]],stores[Store_ID],stores[Store_Name])</f>
        <v>Warangal Store</v>
      </c>
      <c r="L494" t="str">
        <f>_xlfn.XLOOKUP(sales[[#This Row],[Customer_ID]],customers[Customer_ID],customers[Customer_Name])</f>
        <v>Vikram_162</v>
      </c>
      <c r="M494" t="str">
        <f>IF(sales[[#This Row],[Total_Amount]]&gt;=50000,"High Sales","Low Sales")</f>
        <v>High Sales</v>
      </c>
      <c r="N494">
        <f>sales[[#This Row],[Total_Amount]]/sales[[#This Row],[Quantity]]</f>
        <v>83999.290000000008</v>
      </c>
    </row>
    <row r="495" spans="1:14" x14ac:dyDescent="0.3">
      <c r="A495" t="s">
        <v>1297</v>
      </c>
      <c r="B495">
        <v>1103</v>
      </c>
      <c r="C495" t="s">
        <v>118</v>
      </c>
      <c r="D495" t="s">
        <v>62</v>
      </c>
      <c r="E495" t="s">
        <v>456</v>
      </c>
      <c r="F495">
        <v>3</v>
      </c>
      <c r="G495">
        <v>18960.45</v>
      </c>
      <c r="H495" t="s">
        <v>534</v>
      </c>
      <c r="I495">
        <v>2025</v>
      </c>
      <c r="J495" t="str">
        <f>_xlfn.XLOOKUP(sales[[#This Row],[Product_ID]],products[Product_ID],products[Product_Name])</f>
        <v>Tablet 24</v>
      </c>
      <c r="K495" t="str">
        <f>_xlfn.XLOOKUP(sales[[#This Row],[Store_ID]],stores[Store_ID],stores[Store_Name])</f>
        <v>Pune Store</v>
      </c>
      <c r="L495" t="str">
        <f>_xlfn.XLOOKUP(sales[[#This Row],[Customer_ID]],customers[Customer_ID],customers[Customer_Name])</f>
        <v>Keerthi_103</v>
      </c>
      <c r="M495" t="str">
        <f>IF(sales[[#This Row],[Total_Amount]]&gt;=50000,"High Sales","Low Sales")</f>
        <v>Low Sales</v>
      </c>
      <c r="N495">
        <f>sales[[#This Row],[Total_Amount]]/sales[[#This Row],[Quantity]]</f>
        <v>6320.1500000000005</v>
      </c>
    </row>
    <row r="496" spans="1:14" x14ac:dyDescent="0.3">
      <c r="A496" t="s">
        <v>1298</v>
      </c>
      <c r="B496">
        <v>1183</v>
      </c>
      <c r="C496" t="s">
        <v>81</v>
      </c>
      <c r="D496" t="s">
        <v>53</v>
      </c>
      <c r="E496" t="s">
        <v>610</v>
      </c>
      <c r="F496">
        <v>2</v>
      </c>
      <c r="G496">
        <v>191793.26</v>
      </c>
      <c r="H496" t="s">
        <v>525</v>
      </c>
      <c r="I496">
        <v>2026</v>
      </c>
      <c r="J496" t="str">
        <f>_xlfn.XLOOKUP(sales[[#This Row],[Product_ID]],products[Product_ID],products[Product_Name])</f>
        <v>Camera 6</v>
      </c>
      <c r="K496" t="str">
        <f>_xlfn.XLOOKUP(sales[[#This Row],[Store_ID]],stores[Store_ID],stores[Store_Name])</f>
        <v>Warangal Store</v>
      </c>
      <c r="L496" t="str">
        <f>_xlfn.XLOOKUP(sales[[#This Row],[Customer_ID]],customers[Customer_ID],customers[Customer_Name])</f>
        <v>Sita_183</v>
      </c>
      <c r="M496" t="str">
        <f>IF(sales[[#This Row],[Total_Amount]]&gt;=50000,"High Sales","Low Sales")</f>
        <v>High Sales</v>
      </c>
      <c r="N496">
        <f>sales[[#This Row],[Total_Amount]]/sales[[#This Row],[Quantity]]</f>
        <v>95896.63</v>
      </c>
    </row>
    <row r="497" spans="1:14" x14ac:dyDescent="0.3">
      <c r="A497" t="s">
        <v>1299</v>
      </c>
      <c r="B497">
        <v>1156</v>
      </c>
      <c r="C497" t="s">
        <v>118</v>
      </c>
      <c r="D497" t="s">
        <v>46</v>
      </c>
      <c r="E497" t="s">
        <v>752</v>
      </c>
      <c r="F497">
        <v>4</v>
      </c>
      <c r="G497">
        <v>459012.8</v>
      </c>
      <c r="H497" t="s">
        <v>545</v>
      </c>
      <c r="I497">
        <v>2025</v>
      </c>
      <c r="J497" t="str">
        <f>_xlfn.XLOOKUP(sales[[#This Row],[Product_ID]],products[Product_ID],products[Product_Name])</f>
        <v>Tablet 24</v>
      </c>
      <c r="K497" t="str">
        <f>_xlfn.XLOOKUP(sales[[#This Row],[Store_ID]],stores[Store_ID],stores[Store_Name])</f>
        <v>Vijayawada Store</v>
      </c>
      <c r="L497" t="str">
        <f>_xlfn.XLOOKUP(sales[[#This Row],[Customer_ID]],customers[Customer_ID],customers[Customer_Name])</f>
        <v>Pooja_156</v>
      </c>
      <c r="M497" t="str">
        <f>IF(sales[[#This Row],[Total_Amount]]&gt;=50000,"High Sales","Low Sales")</f>
        <v>High Sales</v>
      </c>
      <c r="N497">
        <f>sales[[#This Row],[Total_Amount]]/sales[[#This Row],[Quantity]]</f>
        <v>114753.2</v>
      </c>
    </row>
    <row r="498" spans="1:14" x14ac:dyDescent="0.3">
      <c r="A498" t="s">
        <v>1300</v>
      </c>
      <c r="B498">
        <v>1102</v>
      </c>
      <c r="C498" t="s">
        <v>128</v>
      </c>
      <c r="D498" t="s">
        <v>57</v>
      </c>
      <c r="E498" t="s">
        <v>940</v>
      </c>
      <c r="F498">
        <v>3</v>
      </c>
      <c r="G498">
        <v>3588.54</v>
      </c>
      <c r="H498" t="s">
        <v>545</v>
      </c>
      <c r="I498">
        <v>2026</v>
      </c>
      <c r="J498" t="str">
        <f>_xlfn.XLOOKUP(sales[[#This Row],[Product_ID]],products[Product_ID],products[Product_Name])</f>
        <v>Printer 29</v>
      </c>
      <c r="K498" t="str">
        <f>_xlfn.XLOOKUP(sales[[#This Row],[Store_ID]],stores[Store_ID],stores[Store_Name])</f>
        <v>Bengaluru Store</v>
      </c>
      <c r="L498" t="str">
        <f>_xlfn.XLOOKUP(sales[[#This Row],[Customer_ID]],customers[Customer_ID],customers[Customer_Name])</f>
        <v>Rahul_102</v>
      </c>
      <c r="M498" t="str">
        <f>IF(sales[[#This Row],[Total_Amount]]&gt;=50000,"High Sales","Low Sales")</f>
        <v>Low Sales</v>
      </c>
      <c r="N498">
        <f>sales[[#This Row],[Total_Amount]]/sales[[#This Row],[Quantity]]</f>
        <v>1196.18</v>
      </c>
    </row>
    <row r="499" spans="1:14" x14ac:dyDescent="0.3">
      <c r="A499" t="s">
        <v>1301</v>
      </c>
      <c r="B499">
        <v>1079</v>
      </c>
      <c r="C499" t="s">
        <v>75</v>
      </c>
      <c r="D499" t="s">
        <v>59</v>
      </c>
      <c r="E499" t="s">
        <v>1302</v>
      </c>
      <c r="F499">
        <v>4</v>
      </c>
      <c r="G499">
        <v>370600.8</v>
      </c>
      <c r="H499" t="s">
        <v>531</v>
      </c>
      <c r="I499">
        <v>2026</v>
      </c>
      <c r="J499" t="str">
        <f>_xlfn.XLOOKUP(sales[[#This Row],[Product_ID]],products[Product_ID],products[Product_Name])</f>
        <v>Smart Watch 3</v>
      </c>
      <c r="K499" t="str">
        <f>_xlfn.XLOOKUP(sales[[#This Row],[Store_ID]],stores[Store_ID],stores[Store_Name])</f>
        <v>Chennai Store</v>
      </c>
      <c r="L499" t="str">
        <f>_xlfn.XLOOKUP(sales[[#This Row],[Customer_ID]],customers[Customer_ID],customers[Customer_Name])</f>
        <v>Priya_79</v>
      </c>
      <c r="M499" t="str">
        <f>IF(sales[[#This Row],[Total_Amount]]&gt;=50000,"High Sales","Low Sales")</f>
        <v>High Sales</v>
      </c>
      <c r="N499">
        <f>sales[[#This Row],[Total_Amount]]/sales[[#This Row],[Quantity]]</f>
        <v>92650.2</v>
      </c>
    </row>
    <row r="500" spans="1:14" x14ac:dyDescent="0.3">
      <c r="A500" t="s">
        <v>1303</v>
      </c>
      <c r="B500">
        <v>1087</v>
      </c>
      <c r="C500" t="s">
        <v>100</v>
      </c>
      <c r="D500" t="s">
        <v>42</v>
      </c>
      <c r="E500" t="s">
        <v>1304</v>
      </c>
      <c r="F500">
        <v>5</v>
      </c>
      <c r="G500">
        <v>303765.90000000002</v>
      </c>
      <c r="H500" t="s">
        <v>537</v>
      </c>
      <c r="I500">
        <v>2025</v>
      </c>
      <c r="J500" t="str">
        <f>_xlfn.XLOOKUP(sales[[#This Row],[Product_ID]],products[Product_ID],products[Product_Name])</f>
        <v>Tablet 15</v>
      </c>
      <c r="K500" t="str">
        <f>_xlfn.XLOOKUP(sales[[#This Row],[Store_ID]],stores[Store_ID],stores[Store_Name])</f>
        <v>Hyderabad Store</v>
      </c>
      <c r="L500" t="str">
        <f>_xlfn.XLOOKUP(sales[[#This Row],[Customer_ID]],customers[Customer_ID],customers[Customer_Name])</f>
        <v>Anjali_87</v>
      </c>
      <c r="M500" t="str">
        <f>IF(sales[[#This Row],[Total_Amount]]&gt;=50000,"High Sales","Low Sales")</f>
        <v>High Sales</v>
      </c>
      <c r="N500">
        <f>sales[[#This Row],[Total_Amount]]/sales[[#This Row],[Quantity]]</f>
        <v>60753.180000000008</v>
      </c>
    </row>
    <row r="501" spans="1:14" x14ac:dyDescent="0.3">
      <c r="A501" t="s">
        <v>1305</v>
      </c>
      <c r="B501">
        <v>1175</v>
      </c>
      <c r="C501" t="s">
        <v>84</v>
      </c>
      <c r="D501" t="s">
        <v>57</v>
      </c>
      <c r="E501" t="s">
        <v>724</v>
      </c>
      <c r="F501">
        <v>4</v>
      </c>
      <c r="G501">
        <v>298339.48</v>
      </c>
      <c r="H501" t="s">
        <v>545</v>
      </c>
      <c r="I501">
        <v>2025</v>
      </c>
      <c r="J501" t="str">
        <f>_xlfn.XLOOKUP(sales[[#This Row],[Product_ID]],products[Product_ID],products[Product_Name])</f>
        <v>Headphones 7</v>
      </c>
      <c r="K501" t="str">
        <f>_xlfn.XLOOKUP(sales[[#This Row],[Store_ID]],stores[Store_ID],stores[Store_Name])</f>
        <v>Bengaluru Store</v>
      </c>
      <c r="L501" t="str">
        <f>_xlfn.XLOOKUP(sales[[#This Row],[Customer_ID]],customers[Customer_ID],customers[Customer_Name])</f>
        <v>Ramesh_175</v>
      </c>
      <c r="M501" t="str">
        <f>IF(sales[[#This Row],[Total_Amount]]&gt;=50000,"High Sales","Low Sales")</f>
        <v>High Sales</v>
      </c>
      <c r="N501">
        <f>sales[[#This Row],[Total_Amount]]/sales[[#This Row],[Quantity]]</f>
        <v>74584.87</v>
      </c>
    </row>
    <row r="503" spans="1:14" x14ac:dyDescent="0.3">
      <c r="A503">
        <f>COUNTA(sales[Sale_ID])</f>
        <v>500</v>
      </c>
      <c r="F503">
        <f>SUM(sales[Quantity])</f>
        <v>1555</v>
      </c>
      <c r="G503">
        <f>SUM(sales[Total_Amount])</f>
        <v>94450572.550000116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CD0D-A74D-4759-BF9E-CB9E200A07A4}">
  <dimension ref="B3:C7"/>
  <sheetViews>
    <sheetView workbookViewId="0">
      <selection activeCell="C16" sqref="C16"/>
    </sheetView>
  </sheetViews>
  <sheetFormatPr defaultRowHeight="14.4" x14ac:dyDescent="0.3"/>
  <cols>
    <col min="2" max="2" width="15.109375" bestFit="1" customWidth="1"/>
    <col min="3" max="3" width="19.77734375" bestFit="1" customWidth="1"/>
  </cols>
  <sheetData>
    <row r="3" spans="2:3" x14ac:dyDescent="0.3">
      <c r="B3" s="22" t="s">
        <v>1311</v>
      </c>
      <c r="C3" t="s">
        <v>1313</v>
      </c>
    </row>
    <row r="4" spans="2:3" x14ac:dyDescent="0.3">
      <c r="B4" s="23" t="s">
        <v>71</v>
      </c>
      <c r="C4" s="25">
        <v>21777374.030000001</v>
      </c>
    </row>
    <row r="5" spans="2:3" x14ac:dyDescent="0.3">
      <c r="B5" s="23" t="s">
        <v>83</v>
      </c>
      <c r="C5" s="25">
        <v>32049941.82</v>
      </c>
    </row>
    <row r="6" spans="2:3" x14ac:dyDescent="0.3">
      <c r="B6" s="23" t="s">
        <v>74</v>
      </c>
      <c r="C6" s="25">
        <v>40623256.700000003</v>
      </c>
    </row>
    <row r="7" spans="2:3" x14ac:dyDescent="0.3">
      <c r="B7" s="23" t="s">
        <v>1312</v>
      </c>
      <c r="C7" s="25">
        <v>94450572.549999997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0FC8E-ED75-4D38-B3AE-B37F73C7F4E9}">
  <dimension ref="A1:B10"/>
  <sheetViews>
    <sheetView workbookViewId="0"/>
  </sheetViews>
  <sheetFormatPr defaultRowHeight="14.4" x14ac:dyDescent="0.3"/>
  <cols>
    <col min="1" max="1" width="18.44140625" bestFit="1" customWidth="1"/>
    <col min="2" max="2" width="19.77734375" bestFit="1" customWidth="1"/>
  </cols>
  <sheetData>
    <row r="1" spans="1:2" x14ac:dyDescent="0.3">
      <c r="A1" s="22" t="s">
        <v>1311</v>
      </c>
      <c r="B1" t="s">
        <v>1313</v>
      </c>
    </row>
    <row r="2" spans="1:2" x14ac:dyDescent="0.3">
      <c r="A2" s="23" t="s">
        <v>58</v>
      </c>
      <c r="B2" s="25">
        <v>12182071.710000001</v>
      </c>
    </row>
    <row r="3" spans="1:2" x14ac:dyDescent="0.3">
      <c r="A3" s="23" t="s">
        <v>60</v>
      </c>
      <c r="B3" s="25">
        <v>15673144.560000001</v>
      </c>
    </row>
    <row r="4" spans="1:2" x14ac:dyDescent="0.3">
      <c r="A4" s="23" t="s">
        <v>51</v>
      </c>
      <c r="B4" s="25">
        <v>6554559.2400000002</v>
      </c>
    </row>
    <row r="5" spans="1:2" x14ac:dyDescent="0.3">
      <c r="A5" s="23" t="s">
        <v>43</v>
      </c>
      <c r="B5" s="25">
        <v>15773177.439999999</v>
      </c>
    </row>
    <row r="6" spans="1:2" x14ac:dyDescent="0.3">
      <c r="A6" s="23" t="s">
        <v>63</v>
      </c>
      <c r="B6" s="25">
        <v>10801807.52</v>
      </c>
    </row>
    <row r="7" spans="1:2" x14ac:dyDescent="0.3">
      <c r="A7" s="23" t="s">
        <v>47</v>
      </c>
      <c r="B7" s="25">
        <v>9485309.7100000009</v>
      </c>
    </row>
    <row r="8" spans="1:2" x14ac:dyDescent="0.3">
      <c r="A8" s="23" t="s">
        <v>49</v>
      </c>
      <c r="B8" s="25">
        <v>15660954.300000001</v>
      </c>
    </row>
    <row r="9" spans="1:2" x14ac:dyDescent="0.3">
      <c r="A9" s="23" t="s">
        <v>54</v>
      </c>
      <c r="B9" s="25">
        <v>8319548.0700000003</v>
      </c>
    </row>
    <row r="10" spans="1:2" x14ac:dyDescent="0.3">
      <c r="A10" s="23" t="s">
        <v>1312</v>
      </c>
      <c r="B10" s="25">
        <v>94450572.549999997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B555B-780A-4AD1-B06E-9BB93C6B7FCC}">
  <dimension ref="A1:B32"/>
  <sheetViews>
    <sheetView workbookViewId="0">
      <selection activeCell="O30" sqref="O30"/>
    </sheetView>
  </sheetViews>
  <sheetFormatPr defaultRowHeight="14.4" x14ac:dyDescent="0.3"/>
  <cols>
    <col min="1" max="1" width="13.44140625" bestFit="1" customWidth="1"/>
    <col min="2" max="2" width="19.77734375" bestFit="1" customWidth="1"/>
  </cols>
  <sheetData>
    <row r="1" spans="1:2" x14ac:dyDescent="0.3">
      <c r="A1" s="22" t="s">
        <v>1311</v>
      </c>
      <c r="B1" t="s">
        <v>1313</v>
      </c>
    </row>
    <row r="2" spans="1:2" x14ac:dyDescent="0.3">
      <c r="A2" s="23" t="s">
        <v>91</v>
      </c>
      <c r="B2" s="25">
        <v>3852151.54</v>
      </c>
    </row>
    <row r="3" spans="1:2" x14ac:dyDescent="0.3">
      <c r="A3" s="23" t="s">
        <v>99</v>
      </c>
      <c r="B3" s="25">
        <v>4392433.43</v>
      </c>
    </row>
    <row r="4" spans="1:2" x14ac:dyDescent="0.3">
      <c r="A4" s="23" t="s">
        <v>82</v>
      </c>
      <c r="B4" s="25">
        <v>3155264.34</v>
      </c>
    </row>
    <row r="5" spans="1:2" x14ac:dyDescent="0.3">
      <c r="A5" s="23" t="s">
        <v>70</v>
      </c>
      <c r="B5" s="25">
        <v>4175454.92</v>
      </c>
    </row>
    <row r="6" spans="1:2" x14ac:dyDescent="0.3">
      <c r="A6" s="23" t="s">
        <v>73</v>
      </c>
      <c r="B6" s="25">
        <v>3982464.75</v>
      </c>
    </row>
    <row r="7" spans="1:2" x14ac:dyDescent="0.3">
      <c r="A7" s="23" t="s">
        <v>85</v>
      </c>
      <c r="B7" s="25">
        <v>2745147.65</v>
      </c>
    </row>
    <row r="8" spans="1:2" x14ac:dyDescent="0.3">
      <c r="A8" s="23" t="s">
        <v>89</v>
      </c>
      <c r="B8" s="25">
        <v>1684421.1</v>
      </c>
    </row>
    <row r="9" spans="1:2" x14ac:dyDescent="0.3">
      <c r="A9" s="23" t="s">
        <v>111</v>
      </c>
      <c r="B9" s="25">
        <v>2286674.02</v>
      </c>
    </row>
    <row r="10" spans="1:2" x14ac:dyDescent="0.3">
      <c r="A10" s="23" t="s">
        <v>87</v>
      </c>
      <c r="B10" s="25">
        <v>3306859.47</v>
      </c>
    </row>
    <row r="11" spans="1:2" x14ac:dyDescent="0.3">
      <c r="A11" s="23" t="s">
        <v>107</v>
      </c>
      <c r="B11" s="25">
        <v>3539603.32</v>
      </c>
    </row>
    <row r="12" spans="1:2" x14ac:dyDescent="0.3">
      <c r="A12" s="23" t="s">
        <v>117</v>
      </c>
      <c r="B12" s="25">
        <v>2036717.78</v>
      </c>
    </row>
    <row r="13" spans="1:2" x14ac:dyDescent="0.3">
      <c r="A13" s="23" t="s">
        <v>105</v>
      </c>
      <c r="B13" s="25">
        <v>3691080.49</v>
      </c>
    </row>
    <row r="14" spans="1:2" x14ac:dyDescent="0.3">
      <c r="A14" s="23" t="s">
        <v>115</v>
      </c>
      <c r="B14" s="25">
        <v>2859741.22</v>
      </c>
    </row>
    <row r="15" spans="1:2" x14ac:dyDescent="0.3">
      <c r="A15" s="23" t="s">
        <v>125</v>
      </c>
      <c r="B15" s="25">
        <v>3062049.76</v>
      </c>
    </row>
    <row r="16" spans="1:2" x14ac:dyDescent="0.3">
      <c r="A16" s="23" t="s">
        <v>113</v>
      </c>
      <c r="B16" s="25">
        <v>3960381.04</v>
      </c>
    </row>
    <row r="17" spans="1:2" x14ac:dyDescent="0.3">
      <c r="A17" s="23" t="s">
        <v>131</v>
      </c>
      <c r="B17" s="25">
        <v>2531366.34</v>
      </c>
    </row>
    <row r="18" spans="1:2" x14ac:dyDescent="0.3">
      <c r="A18" s="23" t="s">
        <v>78</v>
      </c>
      <c r="B18" s="25">
        <v>1952871.49</v>
      </c>
    </row>
    <row r="19" spans="1:2" x14ac:dyDescent="0.3">
      <c r="A19" s="23" t="s">
        <v>95</v>
      </c>
      <c r="B19" s="25">
        <v>3425796.22</v>
      </c>
    </row>
    <row r="20" spans="1:2" x14ac:dyDescent="0.3">
      <c r="A20" s="23" t="s">
        <v>109</v>
      </c>
      <c r="B20" s="25">
        <v>1046916.88</v>
      </c>
    </row>
    <row r="21" spans="1:2" x14ac:dyDescent="0.3">
      <c r="A21" s="23" t="s">
        <v>103</v>
      </c>
      <c r="B21" s="25">
        <v>3339667.02</v>
      </c>
    </row>
    <row r="22" spans="1:2" x14ac:dyDescent="0.3">
      <c r="A22" s="23" t="s">
        <v>97</v>
      </c>
      <c r="B22" s="25">
        <v>2065068.44</v>
      </c>
    </row>
    <row r="23" spans="1:2" x14ac:dyDescent="0.3">
      <c r="A23" s="23" t="s">
        <v>121</v>
      </c>
      <c r="B23" s="25">
        <v>3065406.81</v>
      </c>
    </row>
    <row r="24" spans="1:2" x14ac:dyDescent="0.3">
      <c r="A24" s="23" t="s">
        <v>129</v>
      </c>
      <c r="B24" s="25">
        <v>2859523.2</v>
      </c>
    </row>
    <row r="25" spans="1:2" x14ac:dyDescent="0.3">
      <c r="A25" s="23" t="s">
        <v>123</v>
      </c>
      <c r="B25" s="25">
        <v>4719082.4800000004</v>
      </c>
    </row>
    <row r="26" spans="1:2" x14ac:dyDescent="0.3">
      <c r="A26" s="23" t="s">
        <v>127</v>
      </c>
      <c r="B26" s="25">
        <v>5411892.96</v>
      </c>
    </row>
    <row r="27" spans="1:2" x14ac:dyDescent="0.3">
      <c r="A27" s="23" t="s">
        <v>76</v>
      </c>
      <c r="B27" s="25">
        <v>3492877.29</v>
      </c>
    </row>
    <row r="28" spans="1:2" x14ac:dyDescent="0.3">
      <c r="A28" s="23" t="s">
        <v>93</v>
      </c>
      <c r="B28" s="25">
        <v>1955805.53</v>
      </c>
    </row>
    <row r="29" spans="1:2" x14ac:dyDescent="0.3">
      <c r="A29" s="23" t="s">
        <v>80</v>
      </c>
      <c r="B29" s="25">
        <v>3960289.63</v>
      </c>
    </row>
    <row r="30" spans="1:2" x14ac:dyDescent="0.3">
      <c r="A30" s="23" t="s">
        <v>101</v>
      </c>
      <c r="B30" s="25">
        <v>3505022.35</v>
      </c>
    </row>
    <row r="31" spans="1:2" x14ac:dyDescent="0.3">
      <c r="A31" s="23" t="s">
        <v>119</v>
      </c>
      <c r="B31" s="25">
        <v>2388541.08</v>
      </c>
    </row>
    <row r="32" spans="1:2" x14ac:dyDescent="0.3">
      <c r="A32" s="23" t="s">
        <v>1312</v>
      </c>
      <c r="B32" s="25">
        <v>94450572.549999997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4F14-3A84-4F08-A6E0-9206B0C85152}">
  <dimension ref="B3:C16"/>
  <sheetViews>
    <sheetView workbookViewId="0">
      <selection activeCell="D27" sqref="D27"/>
    </sheetView>
  </sheetViews>
  <sheetFormatPr defaultRowHeight="14.4" x14ac:dyDescent="0.3"/>
  <cols>
    <col min="2" max="2" width="12.5546875" bestFit="1" customWidth="1"/>
    <col min="3" max="3" width="19.77734375" bestFit="1" customWidth="1"/>
  </cols>
  <sheetData>
    <row r="3" spans="2:3" x14ac:dyDescent="0.3">
      <c r="B3" s="22" t="s">
        <v>1311</v>
      </c>
      <c r="C3" t="s">
        <v>1313</v>
      </c>
    </row>
    <row r="4" spans="2:3" x14ac:dyDescent="0.3">
      <c r="B4" s="23" t="s">
        <v>531</v>
      </c>
      <c r="C4" s="25">
        <v>12500214.26</v>
      </c>
    </row>
    <row r="5" spans="2:3" x14ac:dyDescent="0.3">
      <c r="B5" s="23" t="s">
        <v>537</v>
      </c>
      <c r="C5" s="25">
        <v>9092559.8699999992</v>
      </c>
    </row>
    <row r="6" spans="2:3" x14ac:dyDescent="0.3">
      <c r="B6" s="23" t="s">
        <v>525</v>
      </c>
      <c r="C6" s="25">
        <v>13453946.66</v>
      </c>
    </row>
    <row r="7" spans="2:3" x14ac:dyDescent="0.3">
      <c r="B7" s="23" t="s">
        <v>558</v>
      </c>
      <c r="C7" s="25">
        <v>8968084.1999999993</v>
      </c>
    </row>
    <row r="8" spans="2:3" x14ac:dyDescent="0.3">
      <c r="B8" s="23" t="s">
        <v>545</v>
      </c>
      <c r="C8" s="25">
        <v>9331252.7400000002</v>
      </c>
    </row>
    <row r="9" spans="2:3" x14ac:dyDescent="0.3">
      <c r="B9" s="23" t="s">
        <v>575</v>
      </c>
      <c r="C9" s="25">
        <v>8459965.9700000007</v>
      </c>
    </row>
    <row r="10" spans="2:3" x14ac:dyDescent="0.3">
      <c r="B10" s="23" t="s">
        <v>572</v>
      </c>
      <c r="C10" s="25">
        <v>4954878.59</v>
      </c>
    </row>
    <row r="11" spans="2:3" x14ac:dyDescent="0.3">
      <c r="B11" s="23" t="s">
        <v>561</v>
      </c>
      <c r="C11" s="25">
        <v>4742274.5999999996</v>
      </c>
    </row>
    <row r="12" spans="2:3" x14ac:dyDescent="0.3">
      <c r="B12" s="23" t="s">
        <v>534</v>
      </c>
      <c r="C12" s="25">
        <v>6135044.1399999997</v>
      </c>
    </row>
    <row r="13" spans="2:3" x14ac:dyDescent="0.3">
      <c r="B13" s="23" t="s">
        <v>540</v>
      </c>
      <c r="C13" s="25">
        <v>5892243.4299999997</v>
      </c>
    </row>
    <row r="14" spans="2:3" x14ac:dyDescent="0.3">
      <c r="B14" s="23" t="s">
        <v>522</v>
      </c>
      <c r="C14" s="25">
        <v>5142711.2</v>
      </c>
    </row>
    <row r="15" spans="2:3" x14ac:dyDescent="0.3">
      <c r="B15" s="23" t="s">
        <v>528</v>
      </c>
      <c r="C15" s="25">
        <v>5777396.8899999997</v>
      </c>
    </row>
    <row r="16" spans="2:3" x14ac:dyDescent="0.3">
      <c r="B16" s="23" t="s">
        <v>1312</v>
      </c>
      <c r="C16" s="25">
        <v>94450572.549999997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B174-7CDC-461D-A75B-760160839FDE}">
  <dimension ref="B3:C6"/>
  <sheetViews>
    <sheetView workbookViewId="0">
      <selection activeCell="M13" sqref="M13"/>
    </sheetView>
  </sheetViews>
  <sheetFormatPr defaultRowHeight="14.4" x14ac:dyDescent="0.3"/>
  <cols>
    <col min="2" max="2" width="12.5546875" bestFit="1" customWidth="1"/>
    <col min="3" max="3" width="19.77734375" bestFit="1" customWidth="1"/>
  </cols>
  <sheetData>
    <row r="3" spans="2:3" x14ac:dyDescent="0.3">
      <c r="B3" s="22" t="s">
        <v>1311</v>
      </c>
      <c r="C3" t="s">
        <v>1313</v>
      </c>
    </row>
    <row r="4" spans="2:3" x14ac:dyDescent="0.3">
      <c r="B4" s="23" t="s">
        <v>138</v>
      </c>
      <c r="C4" s="25">
        <v>52643902.07</v>
      </c>
    </row>
    <row r="5" spans="2:3" x14ac:dyDescent="0.3">
      <c r="B5" s="23" t="s">
        <v>143</v>
      </c>
      <c r="C5" s="25">
        <v>41806670.479999997</v>
      </c>
    </row>
    <row r="6" spans="2:3" x14ac:dyDescent="0.3">
      <c r="B6" s="23" t="s">
        <v>1312</v>
      </c>
      <c r="C6" s="25">
        <v>94450572.549999997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3C79-F849-452A-908C-FF49AE264C2C}">
  <dimension ref="B3:D20"/>
  <sheetViews>
    <sheetView topLeftCell="A19" workbookViewId="0">
      <selection activeCell="E12" sqref="E12"/>
    </sheetView>
  </sheetViews>
  <sheetFormatPr defaultRowHeight="14.4" x14ac:dyDescent="0.3"/>
  <sheetData>
    <row r="3" spans="2:4" x14ac:dyDescent="0.3">
      <c r="B3" s="13"/>
      <c r="C3" s="14"/>
      <c r="D3" s="15"/>
    </row>
    <row r="4" spans="2:4" x14ac:dyDescent="0.3">
      <c r="B4" s="16"/>
      <c r="C4" s="17"/>
      <c r="D4" s="18"/>
    </row>
    <row r="5" spans="2:4" x14ac:dyDescent="0.3">
      <c r="B5" s="16"/>
      <c r="C5" s="17"/>
      <c r="D5" s="18"/>
    </row>
    <row r="6" spans="2:4" x14ac:dyDescent="0.3">
      <c r="B6" s="16"/>
      <c r="C6" s="17"/>
      <c r="D6" s="18"/>
    </row>
    <row r="7" spans="2:4" x14ac:dyDescent="0.3">
      <c r="B7" s="16"/>
      <c r="C7" s="17"/>
      <c r="D7" s="18"/>
    </row>
    <row r="8" spans="2:4" x14ac:dyDescent="0.3">
      <c r="B8" s="16"/>
      <c r="C8" s="17"/>
      <c r="D8" s="18"/>
    </row>
    <row r="9" spans="2:4" x14ac:dyDescent="0.3">
      <c r="B9" s="16"/>
      <c r="C9" s="17"/>
      <c r="D9" s="18"/>
    </row>
    <row r="10" spans="2:4" x14ac:dyDescent="0.3">
      <c r="B10" s="16"/>
      <c r="C10" s="17"/>
      <c r="D10" s="18"/>
    </row>
    <row r="11" spans="2:4" x14ac:dyDescent="0.3">
      <c r="B11" s="16"/>
      <c r="C11" s="17"/>
      <c r="D11" s="18"/>
    </row>
    <row r="12" spans="2:4" x14ac:dyDescent="0.3">
      <c r="B12" s="16"/>
      <c r="C12" s="17"/>
      <c r="D12" s="18"/>
    </row>
    <row r="13" spans="2:4" x14ac:dyDescent="0.3">
      <c r="B13" s="16"/>
      <c r="C13" s="17"/>
      <c r="D13" s="18"/>
    </row>
    <row r="14" spans="2:4" x14ac:dyDescent="0.3">
      <c r="B14" s="16"/>
      <c r="C14" s="17"/>
      <c r="D14" s="18"/>
    </row>
    <row r="15" spans="2:4" x14ac:dyDescent="0.3">
      <c r="B15" s="16"/>
      <c r="C15" s="17"/>
      <c r="D15" s="18"/>
    </row>
    <row r="16" spans="2:4" x14ac:dyDescent="0.3">
      <c r="B16" s="16"/>
      <c r="C16" s="17"/>
      <c r="D16" s="18"/>
    </row>
    <row r="17" spans="2:4" x14ac:dyDescent="0.3">
      <c r="B17" s="16"/>
      <c r="C17" s="17"/>
      <c r="D17" s="18"/>
    </row>
    <row r="18" spans="2:4" x14ac:dyDescent="0.3">
      <c r="B18" s="16"/>
      <c r="C18" s="17"/>
      <c r="D18" s="18"/>
    </row>
    <row r="19" spans="2:4" x14ac:dyDescent="0.3">
      <c r="B19" s="16"/>
      <c r="C19" s="17"/>
      <c r="D19" s="18"/>
    </row>
    <row r="20" spans="2:4" x14ac:dyDescent="0.3">
      <c r="B20" s="19"/>
      <c r="C20" s="20"/>
      <c r="D20" s="2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578C-CE5A-4E15-84DF-EF23EE21044E}">
  <dimension ref="B3:C14"/>
  <sheetViews>
    <sheetView workbookViewId="0">
      <selection activeCell="H33" sqref="H33"/>
    </sheetView>
  </sheetViews>
  <sheetFormatPr defaultRowHeight="14.4" x14ac:dyDescent="0.3"/>
  <cols>
    <col min="2" max="2" width="16.44140625" bestFit="1" customWidth="1"/>
    <col min="3" max="3" width="19.77734375" bestFit="1" customWidth="1"/>
  </cols>
  <sheetData>
    <row r="3" spans="2:3" x14ac:dyDescent="0.3">
      <c r="B3" s="22" t="s">
        <v>1311</v>
      </c>
      <c r="C3" t="s">
        <v>1313</v>
      </c>
    </row>
    <row r="4" spans="2:3" x14ac:dyDescent="0.3">
      <c r="B4" s="23" t="s">
        <v>30</v>
      </c>
      <c r="C4" s="25">
        <v>7949970.3099999996</v>
      </c>
    </row>
    <row r="5" spans="2:3" x14ac:dyDescent="0.3">
      <c r="B5" s="23" t="s">
        <v>17</v>
      </c>
      <c r="C5" s="25">
        <v>9102973.4499999993</v>
      </c>
    </row>
    <row r="6" spans="2:3" x14ac:dyDescent="0.3">
      <c r="B6" s="23" t="s">
        <v>24</v>
      </c>
      <c r="C6" s="25">
        <v>6914201.2999999998</v>
      </c>
    </row>
    <row r="7" spans="2:3" x14ac:dyDescent="0.3">
      <c r="B7" s="23" t="s">
        <v>37</v>
      </c>
      <c r="C7" s="25">
        <v>10203135.9</v>
      </c>
    </row>
    <row r="8" spans="2:3" x14ac:dyDescent="0.3">
      <c r="B8" s="23" t="s">
        <v>34</v>
      </c>
      <c r="C8" s="25">
        <v>20554630.59</v>
      </c>
    </row>
    <row r="9" spans="2:3" x14ac:dyDescent="0.3">
      <c r="B9" s="23" t="s">
        <v>21</v>
      </c>
      <c r="C9" s="25">
        <v>3539603.32</v>
      </c>
    </row>
    <row r="10" spans="2:3" x14ac:dyDescent="0.3">
      <c r="B10" s="23" t="s">
        <v>27</v>
      </c>
      <c r="C10" s="25">
        <v>5289396.43</v>
      </c>
    </row>
    <row r="11" spans="2:3" x14ac:dyDescent="0.3">
      <c r="B11" s="23" t="s">
        <v>13</v>
      </c>
      <c r="C11" s="25">
        <v>5859876.0199999996</v>
      </c>
    </row>
    <row r="12" spans="2:3" x14ac:dyDescent="0.3">
      <c r="B12" s="23" t="s">
        <v>9</v>
      </c>
      <c r="C12" s="25">
        <v>11769281.01</v>
      </c>
    </row>
    <row r="13" spans="2:3" x14ac:dyDescent="0.3">
      <c r="B13" s="23" t="s">
        <v>5</v>
      </c>
      <c r="C13" s="25">
        <v>13267504.220000001</v>
      </c>
    </row>
    <row r="14" spans="2:3" x14ac:dyDescent="0.3">
      <c r="B14" s="23" t="s">
        <v>1312</v>
      </c>
      <c r="C14" s="25">
        <v>94450572.549999997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73F4-36AB-49C8-9640-90B9712946A0}">
  <dimension ref="A1"/>
  <sheetViews>
    <sheetView topLeftCell="D41" zoomScale="73" zoomScaleNormal="65" workbookViewId="0">
      <selection sqref="A1:XFD1048576"/>
    </sheetView>
  </sheetViews>
  <sheetFormatPr defaultRowHeight="14.4" x14ac:dyDescent="0.3"/>
  <cols>
    <col min="1" max="16384" width="8.88671875" style="24"/>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B6D8AB4-B775-482B-825B-88FCB89E7DB5}">
  <ds:schemaRefs/>
</ds:datastoreItem>
</file>

<file path=customXml/itemProps2.xml><?xml version="1.0" encoding="utf-8"?>
<ds:datastoreItem xmlns:ds="http://schemas.openxmlformats.org/officeDocument/2006/customXml" ds:itemID="{9D9604E2-7ADC-49B5-BAF7-2D75E7428C56}">
  <ds:schemaRefs/>
</ds:datastoreItem>
</file>

<file path=customXml/itemProps3.xml><?xml version="1.0" encoding="utf-8"?>
<ds:datastoreItem xmlns:ds="http://schemas.openxmlformats.org/officeDocument/2006/customXml" ds:itemID="{5C0898C6-ED3A-4F51-9E7B-C86EA6133E0A}">
  <ds:schemaRefs/>
</ds:datastoreItem>
</file>

<file path=customXml/itemProps4.xml><?xml version="1.0" encoding="utf-8"?>
<ds:datastoreItem xmlns:ds="http://schemas.openxmlformats.org/officeDocument/2006/customXml" ds:itemID="{D8E5A4E1-6D0F-4FF0-ACF7-48FF865A5C3D}">
  <ds:schemaRefs/>
</ds:datastoreItem>
</file>

<file path=customXml/itemProps5.xml><?xml version="1.0" encoding="utf-8"?>
<ds:datastoreItem xmlns:ds="http://schemas.openxmlformats.org/officeDocument/2006/customXml" ds:itemID="{63AE24A6-7CA7-444D-8226-EC8A4D43A17F}">
  <ds:schemaRefs/>
</ds:datastoreItem>
</file>

<file path=customXml/itemProps6.xml><?xml version="1.0" encoding="utf-8"?>
<ds:datastoreItem xmlns:ds="http://schemas.openxmlformats.org/officeDocument/2006/customXml" ds:itemID="{1D129B57-C31E-455A-810D-88AFE6DA3060}">
  <ds:schemaRefs/>
</ds:datastoreItem>
</file>

<file path=customXml/itemProps7.xml><?xml version="1.0" encoding="utf-8"?>
<ds:datastoreItem xmlns:ds="http://schemas.openxmlformats.org/officeDocument/2006/customXml" ds:itemID="{A019A525-0D33-4201-BFCD-8D9BDED751A9}">
  <ds:schemaRefs/>
</ds:datastoreItem>
</file>

<file path=customXml/itemProps8.xml><?xml version="1.0" encoding="utf-8"?>
<ds:datastoreItem xmlns:ds="http://schemas.openxmlformats.org/officeDocument/2006/customXml" ds:itemID="{30D54673-2FE9-4824-84DB-071A19502D54}">
  <ds:schemaRefs/>
</ds:datastoreItem>
</file>

<file path=customXml/itemProps9.xml><?xml version="1.0" encoding="utf-8"?>
<ds:datastoreItem xmlns:ds="http://schemas.openxmlformats.org/officeDocument/2006/customXml" ds:itemID="{821F06D5-ED7C-4420-8F1F-3B461E2FFCF1}">
  <ds:schemaRefs/>
</ds:datastoreItem>
</file>

<file path=customXml/itemProps10.xml><?xml version="1.0" encoding="utf-8"?>
<ds:datastoreItem xmlns:ds="http://schemas.openxmlformats.org/officeDocument/2006/customXml" ds:itemID="{F97A5D8D-1D38-4803-92A5-CCE5B9DEF5C3}">
  <ds:schemaRefs/>
</ds:datastoreItem>
</file>

<file path=customXml/itemProps11.xml><?xml version="1.0" encoding="utf-8"?>
<ds:datastoreItem xmlns:ds="http://schemas.openxmlformats.org/officeDocument/2006/customXml" ds:itemID="{8DA5E543-8052-4902-A967-7D58FF06BEA0}">
  <ds:schemaRefs/>
</ds:datastoreItem>
</file>

<file path=customXml/itemProps12.xml><?xml version="1.0" encoding="utf-8"?>
<ds:datastoreItem xmlns:ds="http://schemas.openxmlformats.org/officeDocument/2006/customXml" ds:itemID="{208ED79C-FBCA-4EF5-9466-D232757988EB}">
  <ds:schemaRefs/>
</ds:datastoreItem>
</file>

<file path=customXml/itemProps13.xml><?xml version="1.0" encoding="utf-8"?>
<ds:datastoreItem xmlns:ds="http://schemas.openxmlformats.org/officeDocument/2006/customXml" ds:itemID="{7056009F-5A03-4755-A7AF-2270888FB3CC}">
  <ds:schemaRefs/>
</ds:datastoreItem>
</file>

<file path=customXml/itemProps14.xml><?xml version="1.0" encoding="utf-8"?>
<ds:datastoreItem xmlns:ds="http://schemas.openxmlformats.org/officeDocument/2006/customXml" ds:itemID="{DE40CE29-62AB-4167-B86D-CC6FC67B524D}">
  <ds:schemaRefs/>
</ds:datastoreItem>
</file>

<file path=customXml/itemProps15.xml><?xml version="1.0" encoding="utf-8"?>
<ds:datastoreItem xmlns:ds="http://schemas.openxmlformats.org/officeDocument/2006/customXml" ds:itemID="{D7ACE656-C7C4-4154-B056-660929426DBC}">
  <ds:schemaRefs/>
</ds:datastoreItem>
</file>

<file path=customXml/itemProps16.xml><?xml version="1.0" encoding="utf-8"?>
<ds:datastoreItem xmlns:ds="http://schemas.openxmlformats.org/officeDocument/2006/customXml" ds:itemID="{35EC360F-6B3F-414D-A06C-DECB8E135344}">
  <ds:schemaRefs/>
</ds:datastoreItem>
</file>

<file path=customXml/itemProps17.xml><?xml version="1.0" encoding="utf-8"?>
<ds:datastoreItem xmlns:ds="http://schemas.openxmlformats.org/officeDocument/2006/customXml" ds:itemID="{7B46710B-2943-4F2C-B5B3-13F8BA361209}">
  <ds:schemaRefs/>
</ds:datastoreItem>
</file>

<file path=customXml/itemProps18.xml><?xml version="1.0" encoding="utf-8"?>
<ds:datastoreItem xmlns:ds="http://schemas.openxmlformats.org/officeDocument/2006/customXml" ds:itemID="{D022F697-26B3-4C94-B0E7-6E4138C5AE83}">
  <ds:schemaRefs/>
</ds:datastoreItem>
</file>

<file path=customXml/itemProps19.xml><?xml version="1.0" encoding="utf-8"?>
<ds:datastoreItem xmlns:ds="http://schemas.openxmlformats.org/officeDocument/2006/customXml" ds:itemID="{DF105BBE-329C-4A56-A0A9-A7DD0DBF5288}">
  <ds:schemaRefs/>
</ds:datastoreItem>
</file>

<file path=customXml/itemProps20.xml><?xml version="1.0" encoding="utf-8"?>
<ds:datastoreItem xmlns:ds="http://schemas.openxmlformats.org/officeDocument/2006/customXml" ds:itemID="{077D629F-8CD2-4302-B242-709DAC5112C5}">
  <ds:schemaRefs/>
</ds:datastoreItem>
</file>

<file path=customXml/itemProps21.xml><?xml version="1.0" encoding="utf-8"?>
<ds:datastoreItem xmlns:ds="http://schemas.openxmlformats.org/officeDocument/2006/customXml" ds:itemID="{14AC7999-41FB-4682-9C5F-37C18FE67A46}">
  <ds:schemaRefs/>
</ds:datastoreItem>
</file>

<file path=customXml/itemProps22.xml><?xml version="1.0" encoding="utf-8"?>
<ds:datastoreItem xmlns:ds="http://schemas.openxmlformats.org/officeDocument/2006/customXml" ds:itemID="{DF071CAC-8920-497A-8031-AAA60BE0BC7D}">
  <ds:schemaRefs/>
</ds:datastoreItem>
</file>

<file path=customXml/itemProps23.xml><?xml version="1.0" encoding="utf-8"?>
<ds:datastoreItem xmlns:ds="http://schemas.openxmlformats.org/officeDocument/2006/customXml" ds:itemID="{A2488714-B1F1-46D9-B2ED-82AFE6B74F5B}">
  <ds:schemaRefs/>
</ds:datastoreItem>
</file>

<file path=customXml/itemProps24.xml><?xml version="1.0" encoding="utf-8"?>
<ds:datastoreItem xmlns:ds="http://schemas.openxmlformats.org/officeDocument/2006/customXml" ds:itemID="{9D8DAB90-A860-4F08-A466-78B18E9801BF}">
  <ds:schemaRefs/>
</ds:datastoreItem>
</file>

<file path=customXml/itemProps25.xml><?xml version="1.0" encoding="utf-8"?>
<ds:datastoreItem xmlns:ds="http://schemas.openxmlformats.org/officeDocument/2006/customXml" ds:itemID="{9D99456A-6C8B-4744-86C5-ECF89210A449}">
  <ds:schemaRefs/>
</ds:datastoreItem>
</file>

<file path=customXml/itemProps26.xml><?xml version="1.0" encoding="utf-8"?>
<ds:datastoreItem xmlns:ds="http://schemas.openxmlformats.org/officeDocument/2006/customXml" ds:itemID="{5A6006E8-1B45-4A83-A688-6440F1E33F04}">
  <ds:schemaRefs/>
</ds:datastoreItem>
</file>

<file path=customXml/itemProps27.xml><?xml version="1.0" encoding="utf-8"?>
<ds:datastoreItem xmlns:ds="http://schemas.openxmlformats.org/officeDocument/2006/customXml" ds:itemID="{269F345A-97A2-4A1C-82F0-822930D07A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suppliers</vt:lpstr>
      <vt:lpstr>Sheet2</vt:lpstr>
      <vt:lpstr>stores</vt:lpstr>
      <vt:lpstr>products</vt:lpstr>
      <vt:lpstr>Sheet1</vt:lpstr>
      <vt:lpstr>customers</vt:lpstr>
      <vt:lpstr>sales</vt:lpstr>
      <vt:lpstr>Sheet7</vt:lpstr>
      <vt:lpstr>Sheet8</vt:lpstr>
      <vt:lpstr>Sheet9</vt:lpstr>
      <vt:lpstr>Sheet10</vt:lpstr>
      <vt:lpstr>Sheet11</vt:lpstr>
      <vt:lpstr>Sheet13</vt:lpstr>
      <vt:lpstr>Sheet12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Divi</dc:creator>
  <cp:lastModifiedBy>Divya Divi</cp:lastModifiedBy>
  <dcterms:created xsi:type="dcterms:W3CDTF">2026-06-20T11:34:10Z</dcterms:created>
  <dcterms:modified xsi:type="dcterms:W3CDTF">2026-07-09T14:46:04Z</dcterms:modified>
</cp:coreProperties>
</file>